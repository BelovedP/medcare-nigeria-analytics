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14960DFD-86EC-460D-8628-9E682E1C0091}" xr6:coauthVersionLast="47" xr6:coauthVersionMax="47" xr10:uidLastSave="{00000000-0000-0000-0000-000000000000}"/>
  <bookViews>
    <workbookView xWindow="0" yWindow="360" windowWidth="24240" windowHeight="13020" xr2:uid="{00000000-000D-0000-FFFF-FFFF00000000}"/>
  </bookViews>
  <sheets>
    <sheet name="Hospital_Details" sheetId="1" r:id="rId1"/>
    <sheet name="Accreditation_Benchmark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2" i="1"/>
</calcChain>
</file>

<file path=xl/sharedStrings.xml><?xml version="1.0" encoding="utf-8"?>
<sst xmlns="http://schemas.openxmlformats.org/spreadsheetml/2006/main" count="40" uniqueCount="39">
  <si>
    <t>Hospital Name</t>
  </si>
  <si>
    <t>Network ID</t>
  </si>
  <si>
    <t>Capacity (Beds)</t>
  </si>
  <si>
    <t>Palmgrove Specialist Hospital</t>
  </si>
  <si>
    <t>MC-LAG-01</t>
  </si>
  <si>
    <t>Brightwell Medical Centre</t>
  </si>
  <si>
    <t>MC-LAG-02</t>
  </si>
  <si>
    <t>Lakeview Road General Hospital</t>
  </si>
  <si>
    <t>MC-LAG-03</t>
  </si>
  <si>
    <t>Kingsgate Specialist Hospital</t>
  </si>
  <si>
    <t>MC-ABJ-01</t>
  </si>
  <si>
    <t>Silverbell Medical Centre</t>
  </si>
  <si>
    <t>MC-ABJ-02</t>
  </si>
  <si>
    <t>Northview General Hospital</t>
  </si>
  <si>
    <t>MC-ABJ-03</t>
  </si>
  <si>
    <t>Savannah Specialist Hospital</t>
  </si>
  <si>
    <t>MC-KAN-01</t>
  </si>
  <si>
    <t>Goldcrest Medical Centre</t>
  </si>
  <si>
    <t>MC-KAN-02</t>
  </si>
  <si>
    <t>Riverbend General Hospital</t>
  </si>
  <si>
    <t>MC-KAN-03</t>
  </si>
  <si>
    <t>Harborlight Specialist Hospital</t>
  </si>
  <si>
    <t>MC-PHC-01</t>
  </si>
  <si>
    <t>Bluewater Medical Centre</t>
  </si>
  <si>
    <t>MC-PHC-02</t>
  </si>
  <si>
    <t>Palmfield General Hospital</t>
  </si>
  <si>
    <t>MC-PHC-03</t>
  </si>
  <si>
    <t>Hilltown Specialist Hospital</t>
  </si>
  <si>
    <t>MC-ENU-01</t>
  </si>
  <si>
    <t>Cedarview Medical Centre</t>
  </si>
  <si>
    <t>MC-ENU-02</t>
  </si>
  <si>
    <t>Greenridge General Hospital</t>
  </si>
  <si>
    <t>MC-ENU-03</t>
  </si>
  <si>
    <t>Minimum Capacity (Beds)</t>
  </si>
  <si>
    <t>Accreditation Standing</t>
  </si>
  <si>
    <t>Bronze</t>
  </si>
  <si>
    <t>Silver</t>
  </si>
  <si>
    <t>Gold</t>
  </si>
  <si>
    <t>Platinum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</si>
</sst>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Arial"/>
    </font>
    <font>
      <b/>
      <sz val="11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"/>
  <sheetViews>
    <sheetView tabSelected="1" workbookViewId="0">
      <selection activeCell="E1" sqref="E1"/>
    </sheetView>
  </sheetViews>
  <sheetFormatPr defaultRowHeight="15" x14ac:dyDescent="0.25"/>
  <cols>
    <col min="1" max="1" width="40" customWidth="1"/>
    <col min="2" max="2" width="14" customWidth="1"/>
    <col min="3" max="3" width="16" customWidth="1"/>
    <col min="4" max="4" width="25.285156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3" t="s">
        <v>34</v>
      </c>
    </row>
    <row r="2" spans="1:4" x14ac:dyDescent="0.25">
      <c r="A2" s="2" t="s">
        <v>3</v>
      </c>
      <c r="B2" s="2" t="s">
        <v>4</v>
      </c>
      <c r="C2" s="2">
        <v>420</v>
      </c>
      <c r="D2" t="str">
        <f>VLOOKUP(C2,Accreditation_Benchmark!$A$1:$B$5,2,TRUE)</f>
        <v>Platinum</v>
      </c>
    </row>
    <row r="3" spans="1:4" x14ac:dyDescent="0.25">
      <c r="A3" s="2" t="s">
        <v>5</v>
      </c>
      <c r="B3" s="2" t="s">
        <v>6</v>
      </c>
      <c r="C3" s="2">
        <v>60</v>
      </c>
      <c r="D3" t="str">
        <f>VLOOKUP(C3,Accreditation_Benchmark!$A$1:$B$5,2,TRUE)</f>
        <v>Bronze</v>
      </c>
    </row>
    <row r="4" spans="1:4" x14ac:dyDescent="0.25">
      <c r="A4" s="2" t="s">
        <v>7</v>
      </c>
      <c r="B4" s="2" t="s">
        <v>8</v>
      </c>
      <c r="C4" s="2">
        <v>45</v>
      </c>
      <c r="D4" t="str">
        <f>VLOOKUP(C4,Accreditation_Benchmark!$A$1:$B$5,2,TRUE)</f>
        <v>Bronze</v>
      </c>
    </row>
    <row r="5" spans="1:4" x14ac:dyDescent="0.25">
      <c r="A5" s="2" t="s">
        <v>9</v>
      </c>
      <c r="B5" s="2" t="s">
        <v>10</v>
      </c>
      <c r="C5" s="2">
        <v>460</v>
      </c>
      <c r="D5" t="str">
        <f>VLOOKUP(C5,Accreditation_Benchmark!$A$1:$B$5,2,TRUE)</f>
        <v>Platinum</v>
      </c>
    </row>
    <row r="6" spans="1:4" x14ac:dyDescent="0.25">
      <c r="A6" s="2" t="s">
        <v>11</v>
      </c>
      <c r="B6" s="2" t="s">
        <v>12</v>
      </c>
      <c r="C6" s="2">
        <v>140</v>
      </c>
      <c r="D6" t="str">
        <f>VLOOKUP(C6,Accreditation_Benchmark!$A$1:$B$5,2,TRUE)</f>
        <v>Silver</v>
      </c>
    </row>
    <row r="7" spans="1:4" x14ac:dyDescent="0.25">
      <c r="A7" s="2" t="s">
        <v>13</v>
      </c>
      <c r="B7" s="2" t="s">
        <v>14</v>
      </c>
      <c r="C7" s="2">
        <v>110</v>
      </c>
      <c r="D7" t="str">
        <f>VLOOKUP(C7,Accreditation_Benchmark!$A$1:$B$5,2,TRUE)</f>
        <v>Silver</v>
      </c>
    </row>
    <row r="8" spans="1:4" x14ac:dyDescent="0.25">
      <c r="A8" s="2" t="s">
        <v>15</v>
      </c>
      <c r="B8" s="2" t="s">
        <v>16</v>
      </c>
      <c r="C8" s="2">
        <v>110</v>
      </c>
      <c r="D8" t="str">
        <f>VLOOKUP(C8,Accreditation_Benchmark!$A$1:$B$5,2,TRUE)</f>
        <v>Silver</v>
      </c>
    </row>
    <row r="9" spans="1:4" x14ac:dyDescent="0.25">
      <c r="A9" s="2" t="s">
        <v>17</v>
      </c>
      <c r="B9" s="2" t="s">
        <v>18</v>
      </c>
      <c r="C9" s="2">
        <v>80</v>
      </c>
      <c r="D9" t="str">
        <f>VLOOKUP(C9,Accreditation_Benchmark!$A$1:$B$5,2,TRUE)</f>
        <v>Bronze</v>
      </c>
    </row>
    <row r="10" spans="1:4" x14ac:dyDescent="0.25">
      <c r="A10" s="2" t="s">
        <v>19</v>
      </c>
      <c r="B10" s="2" t="s">
        <v>20</v>
      </c>
      <c r="C10" s="2">
        <v>460</v>
      </c>
      <c r="D10" t="str">
        <f>VLOOKUP(C10,Accreditation_Benchmark!$A$1:$B$5,2,TRUE)</f>
        <v>Platinum</v>
      </c>
    </row>
    <row r="11" spans="1:4" x14ac:dyDescent="0.25">
      <c r="A11" s="2" t="s">
        <v>21</v>
      </c>
      <c r="B11" s="2" t="s">
        <v>22</v>
      </c>
      <c r="C11" s="2">
        <v>60</v>
      </c>
      <c r="D11" t="str">
        <f>VLOOKUP(C11,Accreditation_Benchmark!$A$1:$B$5,2,TRUE)</f>
        <v>Bronze</v>
      </c>
    </row>
    <row r="12" spans="1:4" x14ac:dyDescent="0.25">
      <c r="A12" s="2" t="s">
        <v>23</v>
      </c>
      <c r="B12" s="2" t="s">
        <v>24</v>
      </c>
      <c r="C12" s="2">
        <v>420</v>
      </c>
      <c r="D12" t="str">
        <f>VLOOKUP(C12,Accreditation_Benchmark!$A$1:$B$5,2,TRUE)</f>
        <v>Platinum</v>
      </c>
    </row>
    <row r="13" spans="1:4" x14ac:dyDescent="0.25">
      <c r="A13" s="2" t="s">
        <v>25</v>
      </c>
      <c r="B13" s="2" t="s">
        <v>26</v>
      </c>
      <c r="C13" s="2">
        <v>460</v>
      </c>
      <c r="D13" t="str">
        <f>VLOOKUP(C13,Accreditation_Benchmark!$A$1:$B$5,2,TRUE)</f>
        <v>Platinum</v>
      </c>
    </row>
    <row r="14" spans="1:4" x14ac:dyDescent="0.25">
      <c r="A14" s="2" t="s">
        <v>27</v>
      </c>
      <c r="B14" s="2" t="s">
        <v>28</v>
      </c>
      <c r="C14" s="2">
        <v>310</v>
      </c>
      <c r="D14" t="str">
        <f>VLOOKUP(C14,Accreditation_Benchmark!$A$1:$B$5,2,TRUE)</f>
        <v>Gold</v>
      </c>
    </row>
    <row r="15" spans="1:4" x14ac:dyDescent="0.25">
      <c r="A15" s="2" t="s">
        <v>29</v>
      </c>
      <c r="B15" s="2" t="s">
        <v>30</v>
      </c>
      <c r="C15" s="2">
        <v>60</v>
      </c>
      <c r="D15" t="str">
        <f>VLOOKUP(C15,Accreditation_Benchmark!$A$1:$B$5,2,TRUE)</f>
        <v>Bronze</v>
      </c>
    </row>
    <row r="16" spans="1:4" x14ac:dyDescent="0.25">
      <c r="A16" s="2" t="s">
        <v>31</v>
      </c>
      <c r="B16" s="2" t="s">
        <v>32</v>
      </c>
      <c r="C16" s="2">
        <v>380</v>
      </c>
      <c r="D16" t="str">
        <f>VLOOKUP(C16,Accreditation_Benchmark!$A$1:$B$5,2,TRUE)</f>
        <v>Gold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/>
  </sheetViews>
  <sheetFormatPr defaultRowHeight="15" x14ac:dyDescent="0.25"/>
  <cols>
    <col min="1" max="2" width="22" customWidth="1"/>
  </cols>
  <sheetData>
    <row r="1" spans="1:2" x14ac:dyDescent="0.25">
      <c r="A1" s="1" t="s">
        <v>33</v>
      </c>
      <c r="B1" s="1" t="s">
        <v>34</v>
      </c>
    </row>
    <row r="2" spans="1:2" x14ac:dyDescent="0.25">
      <c r="A2" s="2">
        <v>0</v>
      </c>
      <c r="B2" s="2" t="s">
        <v>35</v>
      </c>
    </row>
    <row r="3" spans="1:2" x14ac:dyDescent="0.25">
      <c r="A3" s="2">
        <v>100</v>
      </c>
      <c r="B3" s="2" t="s">
        <v>36</v>
      </c>
    </row>
    <row r="4" spans="1:2" x14ac:dyDescent="0.25">
      <c r="A4" s="2">
        <v>250</v>
      </c>
      <c r="B4" s="2" t="s">
        <v>37</v>
      </c>
    </row>
    <row r="5" spans="1:2" x14ac:dyDescent="0.25">
      <c r="A5" s="2">
        <v>400</v>
      </c>
      <c r="B5" s="2" t="s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Hospital_Details</vt:lpstr>
      <vt:lpstr>Accreditation_Benchmark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Precious Emoh</cp:lastModifiedBy>
  <dcterms:created xsi:type="dcterms:W3CDTF">2026-07-25T08:33:31Z</dcterms:created>
  <dcterms:modified xsi:type="dcterms:W3CDTF">2026-07-28T11:49:10Z</dcterms:modified>
</cp:coreProperties>
</file>