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25453D9-0132-48A4-B5A6-7BCF91338B17}" xr6:coauthVersionLast="47" xr6:coauthVersionMax="47" xr10:uidLastSave="{00000000-0000-0000-0000-000000000000}"/>
  <workbookProtection workbookAlgorithmName="SHA-512" workbookHashValue="hGF9N2NDggN+oMjnKUuIu5sFV5OAs4694ZSuLf48dtIRbsWARI195EPvHH+rizpfFhKyHUJkmJY+YO8Tt/1EHA==" workbookSaltValue="zPj7YAqIYX1+2q+Ta+ENqw==" workbookSpinCount="100000" lockStructure="1"/>
  <bookViews>
    <workbookView xWindow="-120" yWindow="-120" windowWidth="24240" windowHeight="13020" firstSheet="1" activeTab="1" xr2:uid="{00000000-000D-0000-FFFF-FFFF00000000}"/>
  </bookViews>
  <sheets>
    <sheet name="Readme_Documentation" sheetId="8" r:id="rId1"/>
    <sheet name="Patient_Records" sheetId="1" r:id="rId2"/>
    <sheet name="Doctor_Directory" sheetId="2" r:id="rId3"/>
    <sheet name="Bill_Tier_Reference" sheetId="3" r:id="rId4"/>
    <sheet name="Age_Bracket_Reference" sheetId="4" r:id="rId5"/>
    <sheet name="Protocol_Reference" sheetId="5" r:id="rId6"/>
    <sheet name="State_Coordinator" sheetId="6" r:id="rId7"/>
    <sheet name="Insurance_Reimbursement_Matrix" sheetId="7" r:id="rId8"/>
  </sheets>
  <externalReferences>
    <externalReference r:id="rId9"/>
    <externalReference r:id="rId10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" i="1"/>
  <c r="S2" i="1" a="1"/>
  <c r="S2" i="1" s="1"/>
  <c r="R2" i="1"/>
  <c r="Q2" i="1" a="1"/>
  <c r="Q2" i="1" s="1"/>
  <c r="O2" i="1"/>
  <c r="N2" i="1"/>
  <c r="M2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3" i="1"/>
  <c r="L2" i="1"/>
  <c r="K2" i="1"/>
  <c r="S3" i="1" a="1"/>
  <c r="S3" i="1"/>
  <c r="S4" i="1" a="1"/>
  <c r="S4" i="1" s="1"/>
  <c r="S5" i="1" a="1"/>
  <c r="S5" i="1" s="1"/>
  <c r="S6" i="1" a="1"/>
  <c r="S6" i="1" s="1"/>
  <c r="S7" i="1" a="1"/>
  <c r="S7" i="1"/>
  <c r="S8" i="1" a="1"/>
  <c r="S8" i="1" s="1"/>
  <c r="S9" i="1" a="1"/>
  <c r="S9" i="1" s="1"/>
  <c r="S10" i="1" a="1"/>
  <c r="S10" i="1" s="1"/>
  <c r="S11" i="1" a="1"/>
  <c r="S11" i="1" s="1"/>
  <c r="S12" i="1" a="1"/>
  <c r="S12" i="1" s="1"/>
  <c r="S13" i="1" a="1"/>
  <c r="S13" i="1"/>
  <c r="S14" i="1" a="1"/>
  <c r="S14" i="1" s="1"/>
  <c r="S15" i="1" a="1"/>
  <c r="S15" i="1"/>
  <c r="S16" i="1" a="1"/>
  <c r="S16" i="1" s="1"/>
  <c r="S17" i="1" a="1"/>
  <c r="S17" i="1" s="1"/>
  <c r="S18" i="1" a="1"/>
  <c r="S18" i="1" s="1"/>
  <c r="S19" i="1" a="1"/>
  <c r="S19" i="1"/>
  <c r="S20" i="1" a="1"/>
  <c r="S20" i="1" s="1"/>
  <c r="S21" i="1" a="1"/>
  <c r="S21" i="1"/>
  <c r="S22" i="1" a="1"/>
  <c r="S22" i="1" s="1"/>
  <c r="S23" i="1" a="1"/>
  <c r="S23" i="1"/>
  <c r="S24" i="1" a="1"/>
  <c r="S24" i="1" s="1"/>
  <c r="S25" i="1" a="1"/>
  <c r="S25" i="1" s="1"/>
  <c r="S26" i="1" a="1"/>
  <c r="S26" i="1" s="1"/>
  <c r="S27" i="1" a="1"/>
  <c r="S27" i="1"/>
  <c r="S28" i="1" a="1"/>
  <c r="S28" i="1" s="1"/>
  <c r="S29" i="1" a="1"/>
  <c r="S29" i="1"/>
  <c r="S30" i="1" a="1"/>
  <c r="S30" i="1" s="1"/>
  <c r="S31" i="1" a="1"/>
  <c r="S31" i="1"/>
  <c r="S32" i="1" a="1"/>
  <c r="S32" i="1" s="1"/>
  <c r="S33" i="1" a="1"/>
  <c r="S33" i="1" s="1"/>
  <c r="S34" i="1" a="1"/>
  <c r="S34" i="1" s="1"/>
  <c r="S35" i="1" a="1"/>
  <c r="S35" i="1"/>
  <c r="S36" i="1" a="1"/>
  <c r="S36" i="1" s="1"/>
  <c r="S37" i="1" a="1"/>
  <c r="S37" i="1"/>
  <c r="S38" i="1" a="1"/>
  <c r="S38" i="1" s="1"/>
  <c r="S39" i="1" a="1"/>
  <c r="S39" i="1"/>
  <c r="S40" i="1" a="1"/>
  <c r="S40" i="1" s="1"/>
  <c r="S41" i="1" a="1"/>
  <c r="S41" i="1" s="1"/>
  <c r="S42" i="1" a="1"/>
  <c r="S42" i="1" s="1"/>
  <c r="S43" i="1" a="1"/>
  <c r="S43" i="1" s="1"/>
  <c r="S44" i="1" a="1"/>
  <c r="S44" i="1" s="1"/>
  <c r="S45" i="1" a="1"/>
  <c r="S45" i="1"/>
  <c r="S46" i="1" a="1"/>
  <c r="S46" i="1" s="1"/>
  <c r="S47" i="1" a="1"/>
  <c r="S47" i="1"/>
  <c r="S48" i="1" a="1"/>
  <c r="S48" i="1" s="1"/>
  <c r="S49" i="1" a="1"/>
  <c r="S49" i="1" s="1"/>
  <c r="S50" i="1" a="1"/>
  <c r="S50" i="1" s="1"/>
  <c r="S51" i="1" a="1"/>
  <c r="S51" i="1"/>
  <c r="S52" i="1" a="1"/>
  <c r="S52" i="1" s="1"/>
  <c r="S53" i="1" a="1"/>
  <c r="S53" i="1"/>
  <c r="S54" i="1" a="1"/>
  <c r="S54" i="1" s="1"/>
  <c r="S55" i="1" a="1"/>
  <c r="S55" i="1"/>
  <c r="S56" i="1" a="1"/>
  <c r="S56" i="1" s="1"/>
  <c r="S57" i="1" a="1"/>
  <c r="S57" i="1" s="1"/>
  <c r="S58" i="1" a="1"/>
  <c r="S58" i="1" s="1"/>
  <c r="S59" i="1" a="1"/>
  <c r="S59" i="1"/>
  <c r="S60" i="1" a="1"/>
  <c r="S60" i="1" s="1"/>
  <c r="S61" i="1" a="1"/>
  <c r="S61" i="1"/>
  <c r="S62" i="1" a="1"/>
  <c r="S62" i="1" s="1"/>
  <c r="S63" i="1" a="1"/>
  <c r="S63" i="1"/>
  <c r="S64" i="1" a="1"/>
  <c r="S64" i="1" s="1"/>
  <c r="S65" i="1" a="1"/>
  <c r="S65" i="1" s="1"/>
  <c r="S66" i="1" a="1"/>
  <c r="S66" i="1" s="1"/>
  <c r="S67" i="1" a="1"/>
  <c r="S67" i="1"/>
  <c r="S68" i="1" a="1"/>
  <c r="S68" i="1" s="1"/>
  <c r="S69" i="1" a="1"/>
  <c r="S69" i="1"/>
  <c r="S70" i="1" a="1"/>
  <c r="S70" i="1" s="1"/>
  <c r="S71" i="1" a="1"/>
  <c r="S71" i="1"/>
  <c r="S72" i="1" a="1"/>
  <c r="S72" i="1" s="1"/>
  <c r="S73" i="1" a="1"/>
  <c r="S73" i="1" s="1"/>
  <c r="S74" i="1" a="1"/>
  <c r="S74" i="1" s="1"/>
  <c r="S75" i="1" a="1"/>
  <c r="S75" i="1"/>
  <c r="S76" i="1" a="1"/>
  <c r="S76" i="1" s="1"/>
  <c r="S77" i="1" a="1"/>
  <c r="S77" i="1"/>
  <c r="S78" i="1" a="1"/>
  <c r="S78" i="1" s="1"/>
  <c r="S79" i="1" a="1"/>
  <c r="S79" i="1"/>
  <c r="S80" i="1" a="1"/>
  <c r="S80" i="1" s="1"/>
  <c r="S81" i="1" a="1"/>
  <c r="S81" i="1" s="1"/>
  <c r="S82" i="1" a="1"/>
  <c r="S82" i="1" s="1"/>
  <c r="S83" i="1" a="1"/>
  <c r="S83" i="1"/>
  <c r="S84" i="1" a="1"/>
  <c r="S84" i="1" s="1"/>
  <c r="S85" i="1" a="1"/>
  <c r="S85" i="1"/>
  <c r="S86" i="1" a="1"/>
  <c r="S86" i="1" s="1"/>
  <c r="S87" i="1" a="1"/>
  <c r="S87" i="1" s="1"/>
  <c r="S88" i="1" a="1"/>
  <c r="S88" i="1" s="1"/>
  <c r="S89" i="1" a="1"/>
  <c r="S89" i="1" s="1"/>
  <c r="S90" i="1" a="1"/>
  <c r="S90" i="1" s="1"/>
  <c r="S91" i="1" a="1"/>
  <c r="S91" i="1"/>
  <c r="S92" i="1" a="1"/>
  <c r="S92" i="1" s="1"/>
  <c r="S93" i="1" a="1"/>
  <c r="S93" i="1"/>
  <c r="S94" i="1" a="1"/>
  <c r="S94" i="1" s="1"/>
  <c r="S95" i="1" a="1"/>
  <c r="S95" i="1"/>
  <c r="S96" i="1" a="1"/>
  <c r="S96" i="1" s="1"/>
  <c r="S97" i="1" a="1"/>
  <c r="S97" i="1" s="1"/>
  <c r="S98" i="1" a="1"/>
  <c r="S98" i="1" s="1"/>
  <c r="S99" i="1" a="1"/>
  <c r="S99" i="1"/>
  <c r="S100" i="1" a="1"/>
  <c r="S100" i="1" s="1"/>
  <c r="S101" i="1" a="1"/>
  <c r="S101" i="1"/>
  <c r="S102" i="1" a="1"/>
  <c r="S102" i="1" s="1"/>
  <c r="S103" i="1" a="1"/>
  <c r="S103" i="1"/>
  <c r="S104" i="1" a="1"/>
  <c r="S104" i="1" s="1"/>
  <c r="S105" i="1" a="1"/>
  <c r="S105" i="1" s="1"/>
  <c r="S106" i="1" a="1"/>
  <c r="S106" i="1" s="1"/>
  <c r="S107" i="1" a="1"/>
  <c r="S107" i="1" s="1"/>
  <c r="S108" i="1" a="1"/>
  <c r="S108" i="1" s="1"/>
  <c r="S109" i="1" a="1"/>
  <c r="S109" i="1"/>
  <c r="S110" i="1" a="1"/>
  <c r="S110" i="1" s="1"/>
  <c r="S111" i="1" a="1"/>
  <c r="S111" i="1" s="1"/>
  <c r="S112" i="1" a="1"/>
  <c r="S112" i="1" s="1"/>
  <c r="S113" i="1" a="1"/>
  <c r="S113" i="1" s="1"/>
  <c r="S114" i="1" a="1"/>
  <c r="S114" i="1" s="1"/>
  <c r="S115" i="1" a="1"/>
  <c r="S115" i="1"/>
  <c r="S116" i="1" a="1"/>
  <c r="S116" i="1" s="1"/>
  <c r="S117" i="1" a="1"/>
  <c r="S117" i="1"/>
  <c r="S118" i="1" a="1"/>
  <c r="S118" i="1" s="1"/>
  <c r="S119" i="1" a="1"/>
  <c r="S119" i="1"/>
  <c r="S120" i="1" a="1"/>
  <c r="S120" i="1" s="1"/>
  <c r="S121" i="1" a="1"/>
  <c r="S121" i="1" s="1"/>
  <c r="S122" i="1" a="1"/>
  <c r="S122" i="1" s="1"/>
  <c r="S123" i="1" a="1"/>
  <c r="S123" i="1"/>
  <c r="S124" i="1" a="1"/>
  <c r="S124" i="1" s="1"/>
  <c r="S125" i="1" a="1"/>
  <c r="S125" i="1"/>
  <c r="S126" i="1" a="1"/>
  <c r="S126" i="1" s="1"/>
  <c r="S127" i="1" a="1"/>
  <c r="S127" i="1"/>
  <c r="S128" i="1" a="1"/>
  <c r="S128" i="1" s="1"/>
  <c r="S129" i="1" a="1"/>
  <c r="S129" i="1" s="1"/>
  <c r="S130" i="1" a="1"/>
  <c r="S130" i="1" s="1"/>
  <c r="S131" i="1" a="1"/>
  <c r="S131" i="1" s="1"/>
  <c r="S132" i="1" a="1"/>
  <c r="S132" i="1" s="1"/>
  <c r="S133" i="1" a="1"/>
  <c r="S133" i="1"/>
  <c r="S134" i="1" a="1"/>
  <c r="S134" i="1" s="1"/>
  <c r="S135" i="1" a="1"/>
  <c r="S135" i="1"/>
  <c r="S136" i="1" a="1"/>
  <c r="S136" i="1" s="1"/>
  <c r="S137" i="1" a="1"/>
  <c r="S137" i="1" s="1"/>
  <c r="S138" i="1" a="1"/>
  <c r="S138" i="1" s="1"/>
  <c r="S139" i="1" a="1"/>
  <c r="S139" i="1"/>
  <c r="S140" i="1" a="1"/>
  <c r="S140" i="1" s="1"/>
  <c r="S141" i="1" a="1"/>
  <c r="S141" i="1"/>
  <c r="S142" i="1" a="1"/>
  <c r="S142" i="1" s="1"/>
  <c r="S143" i="1" a="1"/>
  <c r="S143" i="1"/>
  <c r="S144" i="1" a="1"/>
  <c r="S144" i="1" s="1"/>
  <c r="S145" i="1" a="1"/>
  <c r="S145" i="1" s="1"/>
  <c r="S146" i="1" a="1"/>
  <c r="S146" i="1" s="1"/>
  <c r="S147" i="1" a="1"/>
  <c r="S147" i="1" s="1"/>
  <c r="S148" i="1" a="1"/>
  <c r="S148" i="1" s="1"/>
  <c r="S149" i="1" a="1"/>
  <c r="S149" i="1"/>
  <c r="S150" i="1" a="1"/>
  <c r="S150" i="1" s="1"/>
  <c r="S151" i="1" a="1"/>
  <c r="S151" i="1"/>
  <c r="S152" i="1" a="1"/>
  <c r="S152" i="1" s="1"/>
  <c r="S153" i="1" a="1"/>
  <c r="S153" i="1" s="1"/>
  <c r="S154" i="1" a="1"/>
  <c r="S154" i="1" s="1"/>
  <c r="S155" i="1" a="1"/>
  <c r="S155" i="1" s="1"/>
  <c r="S156" i="1" a="1"/>
  <c r="S156" i="1" s="1"/>
  <c r="S157" i="1" a="1"/>
  <c r="S157" i="1"/>
  <c r="S158" i="1" a="1"/>
  <c r="S158" i="1" s="1"/>
  <c r="S159" i="1" a="1"/>
  <c r="S159" i="1"/>
  <c r="S160" i="1" a="1"/>
  <c r="S160" i="1" s="1"/>
  <c r="S161" i="1" a="1"/>
  <c r="S161" i="1" s="1"/>
  <c r="S162" i="1" a="1"/>
  <c r="S162" i="1" s="1"/>
  <c r="S163" i="1" a="1"/>
  <c r="S163" i="1" s="1"/>
  <c r="S164" i="1" a="1"/>
  <c r="S164" i="1" s="1"/>
  <c r="S165" i="1" a="1"/>
  <c r="S165" i="1"/>
  <c r="S166" i="1" a="1"/>
  <c r="S166" i="1" s="1"/>
  <c r="S167" i="1" a="1"/>
  <c r="S167" i="1" s="1"/>
  <c r="S168" i="1" a="1"/>
  <c r="S168" i="1" s="1"/>
  <c r="S169" i="1" a="1"/>
  <c r="S169" i="1" s="1"/>
  <c r="S170" i="1" a="1"/>
  <c r="S170" i="1" s="1"/>
  <c r="S171" i="1" a="1"/>
  <c r="S171" i="1" s="1"/>
  <c r="S172" i="1" a="1"/>
  <c r="S172" i="1" s="1"/>
  <c r="S173" i="1" a="1"/>
  <c r="S173" i="1"/>
  <c r="S174" i="1" a="1"/>
  <c r="S174" i="1" s="1"/>
  <c r="S175" i="1" a="1"/>
  <c r="S175" i="1"/>
  <c r="S176" i="1" a="1"/>
  <c r="S176" i="1" s="1"/>
  <c r="S177" i="1" a="1"/>
  <c r="S177" i="1" s="1"/>
  <c r="S178" i="1" a="1"/>
  <c r="S178" i="1" s="1"/>
  <c r="S179" i="1" a="1"/>
  <c r="S179" i="1" s="1"/>
  <c r="S180" i="1" a="1"/>
  <c r="S180" i="1" s="1"/>
  <c r="S181" i="1" a="1"/>
  <c r="S181" i="1" s="1"/>
  <c r="S182" i="1" a="1"/>
  <c r="S182" i="1" s="1"/>
  <c r="S183" i="1" a="1"/>
  <c r="S183" i="1" s="1"/>
  <c r="S184" i="1" a="1"/>
  <c r="S184" i="1" s="1"/>
  <c r="S185" i="1" a="1"/>
  <c r="S185" i="1" s="1"/>
  <c r="S186" i="1" a="1"/>
  <c r="S186" i="1" s="1"/>
  <c r="S187" i="1" a="1"/>
  <c r="S187" i="1" s="1"/>
  <c r="S188" i="1" a="1"/>
  <c r="S188" i="1" s="1"/>
  <c r="S189" i="1" a="1"/>
  <c r="S189" i="1" s="1"/>
  <c r="S190" i="1" a="1"/>
  <c r="S190" i="1" s="1"/>
  <c r="S191" i="1" a="1"/>
  <c r="S191" i="1" s="1"/>
  <c r="S192" i="1" a="1"/>
  <c r="S192" i="1" s="1"/>
  <c r="S193" i="1" a="1"/>
  <c r="S193" i="1" s="1"/>
  <c r="S194" i="1" a="1"/>
  <c r="S194" i="1" s="1"/>
  <c r="S195" i="1" a="1"/>
  <c r="S195" i="1" s="1"/>
  <c r="S196" i="1" a="1"/>
  <c r="S196" i="1" s="1"/>
  <c r="S197" i="1" a="1"/>
  <c r="S197" i="1" s="1"/>
  <c r="S198" i="1" a="1"/>
  <c r="S198" i="1" s="1"/>
  <c r="S199" i="1" a="1"/>
  <c r="S199" i="1" s="1"/>
  <c r="S200" i="1" a="1"/>
  <c r="S200" i="1" s="1"/>
  <c r="S201" i="1" a="1"/>
  <c r="S201" i="1" s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Q3" i="1" a="1"/>
  <c r="Q3" i="1" s="1"/>
  <c r="Q4" i="1" a="1"/>
  <c r="Q4" i="1"/>
  <c r="Q5" i="1" a="1"/>
  <c r="Q5" i="1" s="1"/>
  <c r="Q6" i="1" a="1"/>
  <c r="Q6" i="1" s="1"/>
  <c r="Q7" i="1" a="1"/>
  <c r="Q7" i="1" s="1"/>
  <c r="Q8" i="1" a="1"/>
  <c r="Q8" i="1" s="1"/>
  <c r="Q9" i="1" a="1"/>
  <c r="Q9" i="1" s="1"/>
  <c r="Q10" i="1" a="1"/>
  <c r="Q10" i="1"/>
  <c r="Q11" i="1" a="1"/>
  <c r="Q11" i="1" s="1"/>
  <c r="Q12" i="1" a="1"/>
  <c r="Q12" i="1" s="1"/>
  <c r="Q13" i="1" a="1"/>
  <c r="Q13" i="1" s="1"/>
  <c r="Q14" i="1" a="1"/>
  <c r="Q14" i="1" s="1"/>
  <c r="Q15" i="1" a="1"/>
  <c r="Q15" i="1" s="1"/>
  <c r="Q16" i="1" a="1"/>
  <c r="Q16" i="1" s="1"/>
  <c r="Q17" i="1" a="1"/>
  <c r="Q17" i="1" s="1"/>
  <c r="Q18" i="1" a="1"/>
  <c r="Q18" i="1"/>
  <c r="Q19" i="1" a="1"/>
  <c r="Q19" i="1" s="1"/>
  <c r="Q20" i="1" a="1"/>
  <c r="Q20" i="1" s="1"/>
  <c r="Q21" i="1" a="1"/>
  <c r="Q21" i="1" s="1"/>
  <c r="Q22" i="1" a="1"/>
  <c r="Q22" i="1"/>
  <c r="Q23" i="1" a="1"/>
  <c r="Q23" i="1" s="1"/>
  <c r="Q24" i="1" a="1"/>
  <c r="Q24" i="1" s="1"/>
  <c r="Q25" i="1" a="1"/>
  <c r="Q25" i="1" s="1"/>
  <c r="Q26" i="1" a="1"/>
  <c r="Q26" i="1"/>
  <c r="Q27" i="1" a="1"/>
  <c r="Q27" i="1" s="1"/>
  <c r="Q28" i="1" a="1"/>
  <c r="Q28" i="1" s="1"/>
  <c r="Q29" i="1" a="1"/>
  <c r="Q29" i="1" s="1"/>
  <c r="Q30" i="1" a="1"/>
  <c r="Q30" i="1"/>
  <c r="Q31" i="1" a="1"/>
  <c r="Q31" i="1" s="1"/>
  <c r="Q32" i="1" a="1"/>
  <c r="Q32" i="1" s="1"/>
  <c r="Q33" i="1" a="1"/>
  <c r="Q33" i="1" s="1"/>
  <c r="Q34" i="1" a="1"/>
  <c r="Q34" i="1"/>
  <c r="Q35" i="1" a="1"/>
  <c r="Q35" i="1" s="1"/>
  <c r="Q36" i="1" a="1"/>
  <c r="Q36" i="1" s="1"/>
  <c r="Q37" i="1" a="1"/>
  <c r="Q37" i="1" s="1"/>
  <c r="Q38" i="1" a="1"/>
  <c r="Q38" i="1"/>
  <c r="Q39" i="1" a="1"/>
  <c r="Q39" i="1" s="1"/>
  <c r="Q40" i="1" a="1"/>
  <c r="Q40" i="1" s="1"/>
  <c r="Q41" i="1" a="1"/>
  <c r="Q41" i="1" s="1"/>
  <c r="Q42" i="1" a="1"/>
  <c r="Q42" i="1"/>
  <c r="Q43" i="1" a="1"/>
  <c r="Q43" i="1" s="1"/>
  <c r="Q44" i="1" a="1"/>
  <c r="Q44" i="1" s="1"/>
  <c r="Q45" i="1" a="1"/>
  <c r="Q45" i="1" s="1"/>
  <c r="Q46" i="1" a="1"/>
  <c r="Q46" i="1"/>
  <c r="Q47" i="1" a="1"/>
  <c r="Q47" i="1" s="1"/>
  <c r="Q48" i="1" a="1"/>
  <c r="Q48" i="1" s="1"/>
  <c r="Q49" i="1" a="1"/>
  <c r="Q49" i="1" s="1"/>
  <c r="Q50" i="1" a="1"/>
  <c r="Q50" i="1"/>
  <c r="Q51" i="1" a="1"/>
  <c r="Q51" i="1" s="1"/>
  <c r="Q52" i="1" a="1"/>
  <c r="Q52" i="1" s="1"/>
  <c r="Q53" i="1" a="1"/>
  <c r="Q53" i="1" s="1"/>
  <c r="Q54" i="1" a="1"/>
  <c r="Q54" i="1" s="1"/>
  <c r="Q55" i="1" a="1"/>
  <c r="Q55" i="1" s="1"/>
  <c r="Q56" i="1" a="1"/>
  <c r="Q56" i="1" s="1"/>
  <c r="Q57" i="1" a="1"/>
  <c r="Q57" i="1" s="1"/>
  <c r="Q58" i="1" a="1"/>
  <c r="Q58" i="1"/>
  <c r="Q59" i="1" a="1"/>
  <c r="Q59" i="1" s="1"/>
  <c r="Q60" i="1" a="1"/>
  <c r="Q60" i="1" s="1"/>
  <c r="Q61" i="1" a="1"/>
  <c r="Q61" i="1" s="1"/>
  <c r="Q62" i="1" a="1"/>
  <c r="Q62" i="1"/>
  <c r="Q63" i="1" a="1"/>
  <c r="Q63" i="1" s="1"/>
  <c r="Q64" i="1" a="1"/>
  <c r="Q64" i="1" s="1"/>
  <c r="Q65" i="1" a="1"/>
  <c r="Q65" i="1" s="1"/>
  <c r="Q66" i="1" a="1"/>
  <c r="Q66" i="1"/>
  <c r="Q67" i="1" a="1"/>
  <c r="Q67" i="1" s="1"/>
  <c r="Q68" i="1" a="1"/>
  <c r="Q68" i="1" s="1"/>
  <c r="Q69" i="1" a="1"/>
  <c r="Q69" i="1" s="1"/>
  <c r="Q70" i="1" a="1"/>
  <c r="Q70" i="1"/>
  <c r="Q71" i="1" a="1"/>
  <c r="Q71" i="1" s="1"/>
  <c r="Q72" i="1" a="1"/>
  <c r="Q72" i="1" s="1"/>
  <c r="Q73" i="1" a="1"/>
  <c r="Q73" i="1" s="1"/>
  <c r="Q74" i="1" a="1"/>
  <c r="Q74" i="1"/>
  <c r="Q75" i="1" a="1"/>
  <c r="Q75" i="1" s="1"/>
  <c r="Q76" i="1" a="1"/>
  <c r="Q76" i="1" s="1"/>
  <c r="Q77" i="1" a="1"/>
  <c r="Q77" i="1" s="1"/>
  <c r="Q78" i="1" a="1"/>
  <c r="Q78" i="1"/>
  <c r="Q79" i="1" a="1"/>
  <c r="Q79" i="1" s="1"/>
  <c r="Q80" i="1" a="1"/>
  <c r="Q80" i="1" s="1"/>
  <c r="Q81" i="1" a="1"/>
  <c r="Q81" i="1" s="1"/>
  <c r="Q82" i="1" a="1"/>
  <c r="Q82" i="1"/>
  <c r="Q83" i="1" a="1"/>
  <c r="Q83" i="1" s="1"/>
  <c r="Q84" i="1" a="1"/>
  <c r="Q84" i="1" s="1"/>
  <c r="Q85" i="1" a="1"/>
  <c r="Q85" i="1" s="1"/>
  <c r="Q86" i="1" a="1"/>
  <c r="Q86" i="1"/>
  <c r="Q87" i="1" a="1"/>
  <c r="Q87" i="1" s="1"/>
  <c r="Q88" i="1" a="1"/>
  <c r="Q88" i="1" s="1"/>
  <c r="Q89" i="1" a="1"/>
  <c r="Q89" i="1" s="1"/>
  <c r="Q90" i="1" a="1"/>
  <c r="Q90" i="1"/>
  <c r="Q91" i="1" a="1"/>
  <c r="Q91" i="1" s="1"/>
  <c r="Q92" i="1" a="1"/>
  <c r="Q92" i="1" s="1"/>
  <c r="Q93" i="1" a="1"/>
  <c r="Q93" i="1" s="1"/>
  <c r="Q94" i="1" a="1"/>
  <c r="Q94" i="1"/>
  <c r="Q95" i="1" a="1"/>
  <c r="Q95" i="1" s="1"/>
  <c r="Q96" i="1" a="1"/>
  <c r="Q96" i="1" s="1"/>
  <c r="Q97" i="1" a="1"/>
  <c r="Q97" i="1" s="1"/>
  <c r="Q98" i="1" a="1"/>
  <c r="Q98" i="1"/>
  <c r="Q99" i="1" a="1"/>
  <c r="Q99" i="1" s="1"/>
  <c r="Q100" i="1" a="1"/>
  <c r="Q100" i="1" s="1"/>
  <c r="Q101" i="1" a="1"/>
  <c r="Q101" i="1" s="1"/>
  <c r="Q102" i="1" a="1"/>
  <c r="Q102" i="1"/>
  <c r="Q103" i="1" a="1"/>
  <c r="Q103" i="1" s="1"/>
  <c r="Q104" i="1" a="1"/>
  <c r="Q104" i="1" s="1"/>
  <c r="Q105" i="1" a="1"/>
  <c r="Q105" i="1" s="1"/>
  <c r="Q106" i="1" a="1"/>
  <c r="Q106" i="1"/>
  <c r="Q107" i="1" a="1"/>
  <c r="Q107" i="1" s="1"/>
  <c r="Q108" i="1" a="1"/>
  <c r="Q108" i="1" s="1"/>
  <c r="Q109" i="1" a="1"/>
  <c r="Q109" i="1" s="1"/>
  <c r="Q110" i="1" a="1"/>
  <c r="Q110" i="1"/>
  <c r="Q111" i="1" a="1"/>
  <c r="Q111" i="1" s="1"/>
  <c r="Q112" i="1" a="1"/>
  <c r="Q112" i="1" s="1"/>
  <c r="Q113" i="1" a="1"/>
  <c r="Q113" i="1" s="1"/>
  <c r="Q114" i="1" a="1"/>
  <c r="Q114" i="1"/>
  <c r="Q115" i="1" a="1"/>
  <c r="Q115" i="1" s="1"/>
  <c r="Q116" i="1" a="1"/>
  <c r="Q116" i="1" s="1"/>
  <c r="Q117" i="1" a="1"/>
  <c r="Q117" i="1" s="1"/>
  <c r="Q118" i="1" a="1"/>
  <c r="Q118" i="1"/>
  <c r="Q119" i="1" a="1"/>
  <c r="Q119" i="1" s="1"/>
  <c r="Q120" i="1" a="1"/>
  <c r="Q120" i="1" s="1"/>
  <c r="Q121" i="1" a="1"/>
  <c r="Q121" i="1" s="1"/>
  <c r="Q122" i="1" a="1"/>
  <c r="Q122" i="1"/>
  <c r="Q123" i="1" a="1"/>
  <c r="Q123" i="1" s="1"/>
  <c r="Q124" i="1" a="1"/>
  <c r="Q124" i="1" s="1"/>
  <c r="Q125" i="1" a="1"/>
  <c r="Q125" i="1" s="1"/>
  <c r="Q126" i="1" a="1"/>
  <c r="Q126" i="1"/>
  <c r="Q127" i="1" a="1"/>
  <c r="Q127" i="1" s="1"/>
  <c r="Q128" i="1" a="1"/>
  <c r="Q128" i="1" s="1"/>
  <c r="Q129" i="1" a="1"/>
  <c r="Q129" i="1" s="1"/>
  <c r="Q130" i="1" a="1"/>
  <c r="Q130" i="1"/>
  <c r="Q131" i="1" a="1"/>
  <c r="Q131" i="1" s="1"/>
  <c r="Q132" i="1" a="1"/>
  <c r="Q132" i="1" s="1"/>
  <c r="Q133" i="1" a="1"/>
  <c r="Q133" i="1" s="1"/>
  <c r="Q134" i="1" a="1"/>
  <c r="Q134" i="1"/>
  <c r="Q135" i="1" a="1"/>
  <c r="Q135" i="1" s="1"/>
  <c r="Q136" i="1" a="1"/>
  <c r="Q136" i="1" s="1"/>
  <c r="Q137" i="1" a="1"/>
  <c r="Q137" i="1" s="1"/>
  <c r="Q138" i="1" a="1"/>
  <c r="Q138" i="1"/>
  <c r="Q139" i="1" a="1"/>
  <c r="Q139" i="1" s="1"/>
  <c r="Q140" i="1" a="1"/>
  <c r="Q140" i="1" s="1"/>
  <c r="Q141" i="1" a="1"/>
  <c r="Q141" i="1" s="1"/>
  <c r="Q142" i="1" a="1"/>
  <c r="Q142" i="1"/>
  <c r="Q143" i="1" a="1"/>
  <c r="Q143" i="1" s="1"/>
  <c r="Q144" i="1" a="1"/>
  <c r="Q144" i="1" s="1"/>
  <c r="Q145" i="1" a="1"/>
  <c r="Q145" i="1" s="1"/>
  <c r="Q146" i="1" a="1"/>
  <c r="Q146" i="1"/>
  <c r="Q147" i="1" a="1"/>
  <c r="Q147" i="1" s="1"/>
  <c r="Q148" i="1" a="1"/>
  <c r="Q148" i="1" s="1"/>
  <c r="Q149" i="1" a="1"/>
  <c r="Q149" i="1" s="1"/>
  <c r="Q150" i="1" a="1"/>
  <c r="Q150" i="1"/>
  <c r="Q151" i="1" a="1"/>
  <c r="Q151" i="1" s="1"/>
  <c r="Q152" i="1" a="1"/>
  <c r="Q152" i="1" s="1"/>
  <c r="Q153" i="1" a="1"/>
  <c r="Q153" i="1" s="1"/>
  <c r="Q154" i="1" a="1"/>
  <c r="Q154" i="1"/>
  <c r="Q155" i="1" a="1"/>
  <c r="Q155" i="1" s="1"/>
  <c r="Q156" i="1" a="1"/>
  <c r="Q156" i="1" s="1"/>
  <c r="Q157" i="1" a="1"/>
  <c r="Q157" i="1" s="1"/>
  <c r="Q158" i="1" a="1"/>
  <c r="Q158" i="1"/>
  <c r="Q159" i="1" a="1"/>
  <c r="Q159" i="1" s="1"/>
  <c r="Q160" i="1" a="1"/>
  <c r="Q160" i="1" s="1"/>
  <c r="Q161" i="1" a="1"/>
  <c r="Q161" i="1" s="1"/>
  <c r="Q162" i="1" a="1"/>
  <c r="Q162" i="1"/>
  <c r="Q163" i="1" a="1"/>
  <c r="Q163" i="1" s="1"/>
  <c r="Q164" i="1" a="1"/>
  <c r="Q164" i="1" s="1"/>
  <c r="Q165" i="1" a="1"/>
  <c r="Q165" i="1" s="1"/>
  <c r="Q166" i="1" a="1"/>
  <c r="Q166" i="1"/>
  <c r="Q167" i="1" a="1"/>
  <c r="Q167" i="1" s="1"/>
  <c r="Q168" i="1" a="1"/>
  <c r="Q168" i="1" s="1"/>
  <c r="Q169" i="1" a="1"/>
  <c r="Q169" i="1" s="1"/>
  <c r="Q170" i="1" a="1"/>
  <c r="Q170" i="1"/>
  <c r="Q171" i="1" a="1"/>
  <c r="Q171" i="1" s="1"/>
  <c r="Q172" i="1" a="1"/>
  <c r="Q172" i="1" s="1"/>
  <c r="Q173" i="1" a="1"/>
  <c r="Q173" i="1" s="1"/>
  <c r="Q174" i="1" a="1"/>
  <c r="Q174" i="1" s="1"/>
  <c r="Q175" i="1" a="1"/>
  <c r="Q175" i="1" s="1"/>
  <c r="Q176" i="1" a="1"/>
  <c r="Q176" i="1" s="1"/>
  <c r="Q177" i="1" a="1"/>
  <c r="Q177" i="1" s="1"/>
  <c r="Q178" i="1" a="1"/>
  <c r="Q178" i="1" s="1"/>
  <c r="Q179" i="1" a="1"/>
  <c r="Q179" i="1" s="1"/>
  <c r="Q180" i="1" a="1"/>
  <c r="Q180" i="1" s="1"/>
  <c r="Q181" i="1" a="1"/>
  <c r="Q181" i="1" s="1"/>
  <c r="Q182" i="1" a="1"/>
  <c r="Q182" i="1" s="1"/>
  <c r="Q183" i="1" a="1"/>
  <c r="Q183" i="1" s="1"/>
  <c r="Q184" i="1" a="1"/>
  <c r="Q184" i="1" s="1"/>
  <c r="Q185" i="1" a="1"/>
  <c r="Q185" i="1" s="1"/>
  <c r="Q186" i="1" a="1"/>
  <c r="Q186" i="1" s="1"/>
  <c r="Q187" i="1" a="1"/>
  <c r="Q187" i="1" s="1"/>
  <c r="Q188" i="1" a="1"/>
  <c r="Q188" i="1" s="1"/>
  <c r="Q189" i="1" a="1"/>
  <c r="Q189" i="1" s="1"/>
  <c r="Q190" i="1" a="1"/>
  <c r="Q190" i="1" s="1"/>
  <c r="Q191" i="1" a="1"/>
  <c r="Q191" i="1" s="1"/>
  <c r="Q192" i="1" a="1"/>
  <c r="Q192" i="1" s="1"/>
  <c r="Q193" i="1" a="1"/>
  <c r="Q193" i="1" s="1"/>
  <c r="Q194" i="1" a="1"/>
  <c r="Q194" i="1" s="1"/>
  <c r="Q195" i="1" a="1"/>
  <c r="Q195" i="1" s="1"/>
  <c r="Q196" i="1" a="1"/>
  <c r="Q196" i="1" s="1"/>
  <c r="Q197" i="1" a="1"/>
  <c r="Q197" i="1" s="1"/>
  <c r="Q198" i="1" a="1"/>
  <c r="Q198" i="1" s="1"/>
  <c r="Q199" i="1" a="1"/>
  <c r="Q199" i="1" s="1"/>
  <c r="Q200" i="1" a="1"/>
  <c r="Q200" i="1" s="1"/>
  <c r="Q201" i="1" a="1"/>
  <c r="Q201" i="1" s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<sst xmlns="http://schemas.openxmlformats.org/spreadsheetml/2006/main" count="1579" uniqueCount="663">
  <si>
    <t>Patient ID</t>
  </si>
  <si>
    <t>Full Name</t>
  </si>
  <si>
    <t>State</t>
  </si>
  <si>
    <t>Hospital Name</t>
  </si>
  <si>
    <t>Doctor ID</t>
  </si>
  <si>
    <t>Age</t>
  </si>
  <si>
    <t>Diagnosis Notes</t>
  </si>
  <si>
    <t>Admission Date</t>
  </si>
  <si>
    <t>Bill Amount (NGN)</t>
  </si>
  <si>
    <t>Days Admitted</t>
  </si>
  <si>
    <t>PT-0001</t>
  </si>
  <si>
    <t>Folake Bamidele</t>
  </si>
  <si>
    <t>Port Harcourt</t>
  </si>
  <si>
    <t>Harborlight Specialist Hospital</t>
  </si>
  <si>
    <t>DR-015</t>
  </si>
  <si>
    <t>Typhoid</t>
  </si>
  <si>
    <t>2026-04-01</t>
  </si>
  <si>
    <t>PT-0002</t>
  </si>
  <si>
    <t>Segun Aliyu</t>
  </si>
  <si>
    <t>Lagos</t>
  </si>
  <si>
    <t>Palmgrove Specialist Hospital</t>
  </si>
  <si>
    <t>DR-013</t>
  </si>
  <si>
    <t>Hypertension, stable</t>
  </si>
  <si>
    <t>2026-05-15</t>
  </si>
  <si>
    <t>PT-0003</t>
  </si>
  <si>
    <t>Tunde Usman</t>
  </si>
  <si>
    <t>Kano</t>
  </si>
  <si>
    <t>Riverbend General Hospital</t>
  </si>
  <si>
    <t>DR-020</t>
  </si>
  <si>
    <t>Malaria with anaemia</t>
  </si>
  <si>
    <t>2026-04-25</t>
  </si>
  <si>
    <t>PT-0004</t>
  </si>
  <si>
    <t>Amaka Nwosu</t>
  </si>
  <si>
    <t>Bluewater Medical Centre</t>
  </si>
  <si>
    <t>2026-04-21</t>
  </si>
  <si>
    <t>PT-0005</t>
  </si>
  <si>
    <t>Kayode Suleiman</t>
  </si>
  <si>
    <t>Enugu</t>
  </si>
  <si>
    <t>Greenridge General Hospital</t>
  </si>
  <si>
    <t>DR-008</t>
  </si>
  <si>
    <t>Cholera</t>
  </si>
  <si>
    <t>2026-05-19</t>
  </si>
  <si>
    <t>PT-0006</t>
  </si>
  <si>
    <t>Tobi Eze</t>
  </si>
  <si>
    <t>Abuja</t>
  </si>
  <si>
    <t>Kingsgate Specialist Hospital</t>
  </si>
  <si>
    <t>DR-026</t>
  </si>
  <si>
    <t>Diabetes Type 2</t>
  </si>
  <si>
    <t>2026-05-05</t>
  </si>
  <si>
    <t>PT-0007</t>
  </si>
  <si>
    <t>Titilayo Nnaji</t>
  </si>
  <si>
    <t xml:space="preserve">Harborlight Specialist Hospital </t>
  </si>
  <si>
    <t>DR-101</t>
  </si>
  <si>
    <t>Urinary Tract Infection</t>
  </si>
  <si>
    <t>2026-06-11</t>
  </si>
  <si>
    <t>PT-0008</t>
  </si>
  <si>
    <t>Amaka Okafor</t>
  </si>
  <si>
    <t xml:space="preserve"> Cedarview Medical Centre</t>
  </si>
  <si>
    <t>DR-025</t>
  </si>
  <si>
    <t>TB and Diabetes</t>
  </si>
  <si>
    <t>2026-04-20</t>
  </si>
  <si>
    <t>PT-0009</t>
  </si>
  <si>
    <t>Zainab Yahaya</t>
  </si>
  <si>
    <t xml:space="preserve">Palmfield General Hospital </t>
  </si>
  <si>
    <t>DR-018</t>
  </si>
  <si>
    <t>Asthma</t>
  </si>
  <si>
    <t>2026-04-15</t>
  </si>
  <si>
    <t>PT-0010</t>
  </si>
  <si>
    <t>Damilola Suleiman</t>
  </si>
  <si>
    <t>DR-024</t>
  </si>
  <si>
    <t>Pneumonia</t>
  </si>
  <si>
    <t>2026-04-23</t>
  </si>
  <si>
    <t>PT-0011</t>
  </si>
  <si>
    <t>Kelechi Suleiman</t>
  </si>
  <si>
    <t>DR-030</t>
  </si>
  <si>
    <t>TB relapse case</t>
  </si>
  <si>
    <t>2026-05-12</t>
  </si>
  <si>
    <t>PT-0012</t>
  </si>
  <si>
    <t>Emeka Yakubu</t>
  </si>
  <si>
    <t>Hilltown Specialist Hospital</t>
  </si>
  <si>
    <t>DR-003</t>
  </si>
  <si>
    <t>Suspected TB</t>
  </si>
  <si>
    <t>2026-06-08</t>
  </si>
  <si>
    <t>PT-0013</t>
  </si>
  <si>
    <t>Nneka Yahaya</t>
  </si>
  <si>
    <t>Malaria, resolving</t>
  </si>
  <si>
    <t>2026-06-28</t>
  </si>
  <si>
    <t>PT-0014</t>
  </si>
  <si>
    <t>Nneka Chikwendu</t>
  </si>
  <si>
    <t>Hypertension</t>
  </si>
  <si>
    <t>2026-04-03</t>
  </si>
  <si>
    <t>PT-0015</t>
  </si>
  <si>
    <t>Kayode Eze</t>
  </si>
  <si>
    <t>DR-029</t>
  </si>
  <si>
    <t>2026-04-10</t>
  </si>
  <si>
    <t>PT-0016</t>
  </si>
  <si>
    <t>Aisha Ogundele</t>
  </si>
  <si>
    <t>Cedarview Medical Centre</t>
  </si>
  <si>
    <t>Tuberculosis (TB) - extrapulmonary</t>
  </si>
  <si>
    <t>2026-05-23</t>
  </si>
  <si>
    <t>PT-0017</t>
  </si>
  <si>
    <t>Nkechi Ajayi</t>
  </si>
  <si>
    <t>Lakeview Road General Hospital</t>
  </si>
  <si>
    <t>DR-021</t>
  </si>
  <si>
    <t>2026-04-08</t>
  </si>
  <si>
    <t>PT-0018</t>
  </si>
  <si>
    <t>DR-014</t>
  </si>
  <si>
    <t>2026-05-30</t>
  </si>
  <si>
    <t>PT-0019</t>
  </si>
  <si>
    <t>Gbenga Okonkwo</t>
  </si>
  <si>
    <t>DR-006</t>
  </si>
  <si>
    <t>Suspected Cholera</t>
  </si>
  <si>
    <t>2026-06-01</t>
  </si>
  <si>
    <t>PT-0020</t>
  </si>
  <si>
    <t>Adaeze Umar</t>
  </si>
  <si>
    <t>Goldcrest Medical Centre</t>
  </si>
  <si>
    <t>DR-010</t>
  </si>
  <si>
    <t>Peptic Ulcer Disease</t>
  </si>
  <si>
    <t>PT-0021</t>
  </si>
  <si>
    <t>Omolara Bamidele</t>
  </si>
  <si>
    <t>DR-011</t>
  </si>
  <si>
    <t>Pulmonary TB</t>
  </si>
  <si>
    <t>2026-06-14</t>
  </si>
  <si>
    <t>PT-0022</t>
  </si>
  <si>
    <t>Sadiq Mohammed</t>
  </si>
  <si>
    <t>2026-05-01</t>
  </si>
  <si>
    <t>PT-0023</t>
  </si>
  <si>
    <t>Tunde Oyelaran</t>
  </si>
  <si>
    <t xml:space="preserve"> Greenridge General Hospital </t>
  </si>
  <si>
    <t>Severe Malaria</t>
  </si>
  <si>
    <t>2026-06-25</t>
  </si>
  <si>
    <t>PT-0024</t>
  </si>
  <si>
    <t>Maryam Sani</t>
  </si>
  <si>
    <t xml:space="preserve"> Bluewater Medical Centre</t>
  </si>
  <si>
    <t>DR-001</t>
  </si>
  <si>
    <t>2026-06-12</t>
  </si>
  <si>
    <t>PT-0025</t>
  </si>
  <si>
    <t>Blessing Adeyemi</t>
  </si>
  <si>
    <t>Silverbell Medical Centre</t>
  </si>
  <si>
    <t>2026-06-09</t>
  </si>
  <si>
    <t>PT-0026</t>
  </si>
  <si>
    <t>Fatima Sani</t>
  </si>
  <si>
    <t>DR-009</t>
  </si>
  <si>
    <t>2026-06-10</t>
  </si>
  <si>
    <t>PT-0027</t>
  </si>
  <si>
    <t>Wale Onuoha</t>
  </si>
  <si>
    <t xml:space="preserve">Cedarview Medical Centre </t>
  </si>
  <si>
    <t>2026-06-21</t>
  </si>
  <si>
    <t>PT-0028</t>
  </si>
  <si>
    <t>Tobi Okafor</t>
  </si>
  <si>
    <t>Savannah Specialist Hospital</t>
  </si>
  <si>
    <t>Community-acquired Pneumonia</t>
  </si>
  <si>
    <t>2026-06-30</t>
  </si>
  <si>
    <t>PT-0029</t>
  </si>
  <si>
    <t>Ibrahim Bamidele</t>
  </si>
  <si>
    <t xml:space="preserve"> Brightwell Medical Centre </t>
  </si>
  <si>
    <t>Diabetes, newly diagnosed</t>
  </si>
  <si>
    <t>2026-04-17</t>
  </si>
  <si>
    <t>PT-0030</t>
  </si>
  <si>
    <t>Wale Yakubu</t>
  </si>
  <si>
    <t>Brightwell Medical Centre</t>
  </si>
  <si>
    <t>2026-06-19</t>
  </si>
  <si>
    <t>PT-0031</t>
  </si>
  <si>
    <t>Chinedu Chukwu</t>
  </si>
  <si>
    <t>2026-05-02</t>
  </si>
  <si>
    <t>PT-0032</t>
  </si>
  <si>
    <t>Ifeoma Musa</t>
  </si>
  <si>
    <t>DR-027</t>
  </si>
  <si>
    <t>2026-05-10</t>
  </si>
  <si>
    <t>PT-0033</t>
  </si>
  <si>
    <t>Uche Adeyemi</t>
  </si>
  <si>
    <t>2026-06-26</t>
  </si>
  <si>
    <t>PT-0034</t>
  </si>
  <si>
    <t>Halima Abubakar</t>
  </si>
  <si>
    <t>2026-05-11</t>
  </si>
  <si>
    <t>PT-0035</t>
  </si>
  <si>
    <t>Folake Onuoha</t>
  </si>
  <si>
    <t>PT-0036</t>
  </si>
  <si>
    <t>Ronke Bello</t>
  </si>
  <si>
    <t xml:space="preserve">Riverbend General Hospital </t>
  </si>
  <si>
    <t>DR-022</t>
  </si>
  <si>
    <t>2026-05-22</t>
  </si>
  <si>
    <t>PT-0037</t>
  </si>
  <si>
    <t>Zainab Chukwu</t>
  </si>
  <si>
    <t>PT-0038</t>
  </si>
  <si>
    <t>Chukwuemeka Chikwendu</t>
  </si>
  <si>
    <t>Northview General Hospital</t>
  </si>
  <si>
    <t>DR-016</t>
  </si>
  <si>
    <t>2026-04-11</t>
  </si>
  <si>
    <t>PT-0039</t>
  </si>
  <si>
    <t>Hadiza Yakubu</t>
  </si>
  <si>
    <t>Confirmed TB, on follow-up</t>
  </si>
  <si>
    <t>2026-04-04</t>
  </si>
  <si>
    <t>PT-0040</t>
  </si>
  <si>
    <t>Kayode Ogundele</t>
  </si>
  <si>
    <t>DR-023</t>
  </si>
  <si>
    <t>PT-0041</t>
  </si>
  <si>
    <t>Damilola Ibe</t>
  </si>
  <si>
    <t>DR-017</t>
  </si>
  <si>
    <t>PT-0042</t>
  </si>
  <si>
    <t>Nneka Usman</t>
  </si>
  <si>
    <t>2026-06-04</t>
  </si>
  <si>
    <t>PT-0043</t>
  </si>
  <si>
    <t>Ekene Chikwendu</t>
  </si>
  <si>
    <t>2026-06-06</t>
  </si>
  <si>
    <t>PT-0044</t>
  </si>
  <si>
    <t>Suleiman Nnamdi</t>
  </si>
  <si>
    <t>PT-0045</t>
  </si>
  <si>
    <t>Segun Adeyemi</t>
  </si>
  <si>
    <t>2026-05-24</t>
  </si>
  <si>
    <t>PT-0046</t>
  </si>
  <si>
    <t>Omolara Balogun</t>
  </si>
  <si>
    <t>2026-05-09</t>
  </si>
  <si>
    <t>PT-0047</t>
  </si>
  <si>
    <t>Uche Garba</t>
  </si>
  <si>
    <t>PT-0048</t>
  </si>
  <si>
    <t>Gbenga Balogun</t>
  </si>
  <si>
    <t>Palmfield General Hospital</t>
  </si>
  <si>
    <t>DR-019</t>
  </si>
  <si>
    <t>TB</t>
  </si>
  <si>
    <t>PT-0049</t>
  </si>
  <si>
    <t>Halima Umar</t>
  </si>
  <si>
    <t>PT-0050</t>
  </si>
  <si>
    <t>Tunde Musa</t>
  </si>
  <si>
    <t>2026-04-29</t>
  </si>
  <si>
    <t>PT-0051</t>
  </si>
  <si>
    <t>Folake Balogun</t>
  </si>
  <si>
    <t>PT-0052</t>
  </si>
  <si>
    <t>Halima Fashola</t>
  </si>
  <si>
    <t>PT-0053</t>
  </si>
  <si>
    <t>Wale Umar</t>
  </si>
  <si>
    <t>DR-007</t>
  </si>
  <si>
    <t>PT-0054</t>
  </si>
  <si>
    <t>Chukwudi Abubakar</t>
  </si>
  <si>
    <t>2026-04-09</t>
  </si>
  <si>
    <t>PT-0055</t>
  </si>
  <si>
    <t>Titilayo Nwosu</t>
  </si>
  <si>
    <t>PT-0056</t>
  </si>
  <si>
    <t>Gbenga Musa</t>
  </si>
  <si>
    <t>DR-777</t>
  </si>
  <si>
    <t>Suspected Malaria</t>
  </si>
  <si>
    <t>2026-04-12</t>
  </si>
  <si>
    <t>PT-0057</t>
  </si>
  <si>
    <t>Chinedu Eneh</t>
  </si>
  <si>
    <t>2026-05-04</t>
  </si>
  <si>
    <t>PT-0058</t>
  </si>
  <si>
    <t>Folake Mohammed</t>
  </si>
  <si>
    <t xml:space="preserve">Northview General Hospital </t>
  </si>
  <si>
    <t>PT-0059</t>
  </si>
  <si>
    <t>Chinedu Mohammed</t>
  </si>
  <si>
    <t>PT-0060</t>
  </si>
  <si>
    <t>Anayo Usman</t>
  </si>
  <si>
    <t>DR-050</t>
  </si>
  <si>
    <t>Typhoid and Malaria</t>
  </si>
  <si>
    <t>2026-05-03</t>
  </si>
  <si>
    <t>PT-0061</t>
  </si>
  <si>
    <t>Anayo Bamidele</t>
  </si>
  <si>
    <t>2026-06-15</t>
  </si>
  <si>
    <t>PT-0062</t>
  </si>
  <si>
    <t>Kelechi Chukwu</t>
  </si>
  <si>
    <t>2026-05-06</t>
  </si>
  <si>
    <t>PT-0063</t>
  </si>
  <si>
    <t>Hadiza Eneh</t>
  </si>
  <si>
    <t xml:space="preserve"> Palmgrove Specialist Hospital </t>
  </si>
  <si>
    <t>2026-05-27</t>
  </si>
  <si>
    <t>PT-0064</t>
  </si>
  <si>
    <t>Ngozi Nnaji</t>
  </si>
  <si>
    <t>2026-04-07</t>
  </si>
  <si>
    <t>PT-0065</t>
  </si>
  <si>
    <t>Kunle Usman</t>
  </si>
  <si>
    <t>PT-0066</t>
  </si>
  <si>
    <t>Omolara Garba</t>
  </si>
  <si>
    <t>2026-04-13</t>
  </si>
  <si>
    <t>PT-0067</t>
  </si>
  <si>
    <t>Yusuf Chukwu</t>
  </si>
  <si>
    <t>2026-05-28</t>
  </si>
  <si>
    <t>PT-0068</t>
  </si>
  <si>
    <t>Chidinma Ajayi</t>
  </si>
  <si>
    <t>2026-06-20</t>
  </si>
  <si>
    <t>PT-0069</t>
  </si>
  <si>
    <t>Ibrahim Adeyemi</t>
  </si>
  <si>
    <t>PT-0070</t>
  </si>
  <si>
    <t>Abdullahi Lawal</t>
  </si>
  <si>
    <t>2026-06-16</t>
  </si>
  <si>
    <t>PT-0071</t>
  </si>
  <si>
    <t>Tunde Ibe</t>
  </si>
  <si>
    <t xml:space="preserve"> Greenridge General Hospital</t>
  </si>
  <si>
    <t>2026-06-13</t>
  </si>
  <si>
    <t>PT-0072</t>
  </si>
  <si>
    <t>Maryam Chikwendu</t>
  </si>
  <si>
    <t>Latent TB</t>
  </si>
  <si>
    <t>2026-06-02</t>
  </si>
  <si>
    <t>PT-0073</t>
  </si>
  <si>
    <t>Ejiro Nwosu</t>
  </si>
  <si>
    <t>2026-05-07</t>
  </si>
  <si>
    <t>PT-0074</t>
  </si>
  <si>
    <t>Ronke Onuoha</t>
  </si>
  <si>
    <t>PT-0075</t>
  </si>
  <si>
    <t>PT-0076</t>
  </si>
  <si>
    <t>Kayode Yahaya</t>
  </si>
  <si>
    <t>2026-04-02</t>
  </si>
  <si>
    <t>PT-0077</t>
  </si>
  <si>
    <t>Maryam Ogunleye</t>
  </si>
  <si>
    <t>PT-0078</t>
  </si>
  <si>
    <t>Fatima Ogunleye</t>
  </si>
  <si>
    <t>2026-04-18</t>
  </si>
  <si>
    <t>PT-0079</t>
  </si>
  <si>
    <t>Sadiq Lawal</t>
  </si>
  <si>
    <t>PT-0080</t>
  </si>
  <si>
    <t>Fatima Bamidele</t>
  </si>
  <si>
    <t>2026-06-29</t>
  </si>
  <si>
    <t>PT-0081</t>
  </si>
  <si>
    <t>Ronke Musa</t>
  </si>
  <si>
    <t>2026-06-03</t>
  </si>
  <si>
    <t>PT-0082</t>
  </si>
  <si>
    <t>Chukwuemeka Nwosu</t>
  </si>
  <si>
    <t>2026-06-23</t>
  </si>
  <si>
    <t>PT-0083</t>
  </si>
  <si>
    <t>Chinyere Nnaji</t>
  </si>
  <si>
    <t>DR-028</t>
  </si>
  <si>
    <t>PT-0084</t>
  </si>
  <si>
    <t>Ngozi Yakubu</t>
  </si>
  <si>
    <t>PT-0085</t>
  </si>
  <si>
    <t>Ronke Eze</t>
  </si>
  <si>
    <t>DR-012</t>
  </si>
  <si>
    <t>PT-0086</t>
  </si>
  <si>
    <t>Tunde Ozor</t>
  </si>
  <si>
    <t>PT-0087</t>
  </si>
  <si>
    <t>Ejiro Okonkwo</t>
  </si>
  <si>
    <t>Malaria</t>
  </si>
  <si>
    <t>PT-0088</t>
  </si>
  <si>
    <t>Halima Ajayi</t>
  </si>
  <si>
    <t>PT-0089</t>
  </si>
  <si>
    <t>Ejiro Nnaji</t>
  </si>
  <si>
    <t>PT-0090</t>
  </si>
  <si>
    <t>Blessing Ibe</t>
  </si>
  <si>
    <t>2026-06-24</t>
  </si>
  <si>
    <t>PT-0091</t>
  </si>
  <si>
    <t>Chukwuemeka Abubakar</t>
  </si>
  <si>
    <t>2026-05-08</t>
  </si>
  <si>
    <t>PT-0092</t>
  </si>
  <si>
    <t>Gbenga Fashola</t>
  </si>
  <si>
    <t>PT-0093</t>
  </si>
  <si>
    <t>Ngozi Ogunleye</t>
  </si>
  <si>
    <t>PT-0094</t>
  </si>
  <si>
    <t>Gbenga Bello</t>
  </si>
  <si>
    <t>PT-0095</t>
  </si>
  <si>
    <t>Amaka Musa</t>
  </si>
  <si>
    <t>2026-06-18</t>
  </si>
  <si>
    <t>PT-0096</t>
  </si>
  <si>
    <t>Nkechi Bello</t>
  </si>
  <si>
    <t>DR-002</t>
  </si>
  <si>
    <t>PT-0097</t>
  </si>
  <si>
    <t>Kelechi Bamidele</t>
  </si>
  <si>
    <t>PT-0098</t>
  </si>
  <si>
    <t>Chinyere Fashola</t>
  </si>
  <si>
    <t>PT-0099</t>
  </si>
  <si>
    <t>Uche Danjuma</t>
  </si>
  <si>
    <t>2026-06-22</t>
  </si>
  <si>
    <t>PT-0100</t>
  </si>
  <si>
    <t>Chukwudi Adekunle</t>
  </si>
  <si>
    <t>2026-04-30</t>
  </si>
  <si>
    <t>PT-0101</t>
  </si>
  <si>
    <t>Ibrahim Okafor</t>
  </si>
  <si>
    <t>PT-0102</t>
  </si>
  <si>
    <t>Ronke Balogun</t>
  </si>
  <si>
    <t>PT-0103</t>
  </si>
  <si>
    <t>Kelechi Adigun</t>
  </si>
  <si>
    <t>PT-0104</t>
  </si>
  <si>
    <t>Maryam Balogun</t>
  </si>
  <si>
    <t>2026-06-27</t>
  </si>
  <si>
    <t>PT-0105</t>
  </si>
  <si>
    <t>Ronke Yahaya</t>
  </si>
  <si>
    <t>DR-005</t>
  </si>
  <si>
    <t>PT-0106</t>
  </si>
  <si>
    <t>Sadiq Yahaya</t>
  </si>
  <si>
    <t>PT-0107</t>
  </si>
  <si>
    <t>Oluwaseun Nnaji</t>
  </si>
  <si>
    <t>DR-004</t>
  </si>
  <si>
    <t>PT-0108</t>
  </si>
  <si>
    <t>Tunde Mohammed</t>
  </si>
  <si>
    <t>PT-0109</t>
  </si>
  <si>
    <t>Blessing Garba</t>
  </si>
  <si>
    <t>PT-0110</t>
  </si>
  <si>
    <t>Bimpe Obi</t>
  </si>
  <si>
    <t>PT-0111</t>
  </si>
  <si>
    <t>Obinna Lawal</t>
  </si>
  <si>
    <t>2026-04-19</t>
  </si>
  <si>
    <t>PT-0112</t>
  </si>
  <si>
    <t>Nneka Adekunle</t>
  </si>
  <si>
    <t>2026-05-18</t>
  </si>
  <si>
    <t>PT-0113</t>
  </si>
  <si>
    <t>Chiamaka Ozor</t>
  </si>
  <si>
    <t>PT-0114</t>
  </si>
  <si>
    <t>Segun Adigun</t>
  </si>
  <si>
    <t>PT-0115</t>
  </si>
  <si>
    <t>Abdullahi Yahaya</t>
  </si>
  <si>
    <t>PT-0116</t>
  </si>
  <si>
    <t>Anayo Garba</t>
  </si>
  <si>
    <t>PT-0117</t>
  </si>
  <si>
    <t>Anayo Abubakar</t>
  </si>
  <si>
    <t>PT-0118</t>
  </si>
  <si>
    <t>Abdullahi Balogun</t>
  </si>
  <si>
    <t>PT-0119</t>
  </si>
  <si>
    <t>Omolara Nnaji</t>
  </si>
  <si>
    <t>2026-05-14</t>
  </si>
  <si>
    <t>PT-0120</t>
  </si>
  <si>
    <t>Kayode Bello</t>
  </si>
  <si>
    <t>PT-0121</t>
  </si>
  <si>
    <t>Obinna Yahaya</t>
  </si>
  <si>
    <t>PT-0122</t>
  </si>
  <si>
    <t>Kayode Ekwueme</t>
  </si>
  <si>
    <t>PT-0123</t>
  </si>
  <si>
    <t>Ngozi Sani</t>
  </si>
  <si>
    <t>PT-0124</t>
  </si>
  <si>
    <t>Omolara Usman</t>
  </si>
  <si>
    <t>PT-0125</t>
  </si>
  <si>
    <t>PT-0126</t>
  </si>
  <si>
    <t>Nneka Ozor</t>
  </si>
  <si>
    <t>PT-0127</t>
  </si>
  <si>
    <t>Musa Nwosu</t>
  </si>
  <si>
    <t>PT-0128</t>
  </si>
  <si>
    <t>Maryam Nnaji</t>
  </si>
  <si>
    <t>PT-0129</t>
  </si>
  <si>
    <t>Chinyere Okoye</t>
  </si>
  <si>
    <t>2026-05-17</t>
  </si>
  <si>
    <t>PT-0130</t>
  </si>
  <si>
    <t>Tobi Eneh</t>
  </si>
  <si>
    <t>PT-0131</t>
  </si>
  <si>
    <t>Musa Ozor</t>
  </si>
  <si>
    <t>2026-04-24</t>
  </si>
  <si>
    <t>PT-0132</t>
  </si>
  <si>
    <t>PT-0133</t>
  </si>
  <si>
    <t>Wale Ogundele</t>
  </si>
  <si>
    <t>PT-0134</t>
  </si>
  <si>
    <t>Rasheed Okafor</t>
  </si>
  <si>
    <t>PT-0135</t>
  </si>
  <si>
    <t>Tunde Suleiman</t>
  </si>
  <si>
    <t>2026-05-26</t>
  </si>
  <si>
    <t>PT-0136</t>
  </si>
  <si>
    <t>Nkechi Eze</t>
  </si>
  <si>
    <t>PT-0137</t>
  </si>
  <si>
    <t>Suleiman Aliyu</t>
  </si>
  <si>
    <t>PT-0138</t>
  </si>
  <si>
    <t>Adaeze Mohammed</t>
  </si>
  <si>
    <t>2026-06-17</t>
  </si>
  <si>
    <t>PT-0139</t>
  </si>
  <si>
    <t>Kunle Eze</t>
  </si>
  <si>
    <t>PT-0140</t>
  </si>
  <si>
    <t>Sadiq Ogundele</t>
  </si>
  <si>
    <t xml:space="preserve"> Northview General Hospital</t>
  </si>
  <si>
    <t>PT-0141</t>
  </si>
  <si>
    <t>Ejiro Mohammed</t>
  </si>
  <si>
    <t>PT-0142</t>
  </si>
  <si>
    <t>Kayode Umar</t>
  </si>
  <si>
    <t>PT-0143</t>
  </si>
  <si>
    <t>Ifeoma Obi</t>
  </si>
  <si>
    <t>PT-0144</t>
  </si>
  <si>
    <t>Suleiman Ajayi</t>
  </si>
  <si>
    <t>2026-04-26</t>
  </si>
  <si>
    <t>PT-0145</t>
  </si>
  <si>
    <t>PT-0146</t>
  </si>
  <si>
    <t>Kelechi Garba</t>
  </si>
  <si>
    <t>PT-0147</t>
  </si>
  <si>
    <t>Tunde Garba</t>
  </si>
  <si>
    <t>PT-0148</t>
  </si>
  <si>
    <t>Chukwuemeka Yahaya</t>
  </si>
  <si>
    <t>PT-0149</t>
  </si>
  <si>
    <t>2026-06-05</t>
  </si>
  <si>
    <t>PT-0150</t>
  </si>
  <si>
    <t>PT-0151</t>
  </si>
  <si>
    <t>Hadiza Adeyemi</t>
  </si>
  <si>
    <t>PT-0152</t>
  </si>
  <si>
    <t>Nneka Umar</t>
  </si>
  <si>
    <t xml:space="preserve">Hilltown Specialist Hospital </t>
  </si>
  <si>
    <t>PT-0153</t>
  </si>
  <si>
    <t>Aisha Adeyemi</t>
  </si>
  <si>
    <t>PT-0154</t>
  </si>
  <si>
    <t>Chiamaka Chukwu</t>
  </si>
  <si>
    <t>PT-0155</t>
  </si>
  <si>
    <t>Chukwudi Fashola</t>
  </si>
  <si>
    <t>PT-0156</t>
  </si>
  <si>
    <t>Nkechi Ogundele</t>
  </si>
  <si>
    <t>PT-0157</t>
  </si>
  <si>
    <t>Tobi Usman</t>
  </si>
  <si>
    <t>PT-0158</t>
  </si>
  <si>
    <t>Chiamaka Suleiman</t>
  </si>
  <si>
    <t>PT-0159</t>
  </si>
  <si>
    <t>Femi Ozor</t>
  </si>
  <si>
    <t>PT-0160</t>
  </si>
  <si>
    <t>PT-0161</t>
  </si>
  <si>
    <t>Kayode Bamidele</t>
  </si>
  <si>
    <t>PT-0162</t>
  </si>
  <si>
    <t>Chukwuemeka Oyelaran</t>
  </si>
  <si>
    <t>PT-0163</t>
  </si>
  <si>
    <t>Hadiza Fashola</t>
  </si>
  <si>
    <t>PT-0164</t>
  </si>
  <si>
    <t>Emeka Nnamdi</t>
  </si>
  <si>
    <t>PT-0165</t>
  </si>
  <si>
    <t>Oluwaseun Eneh</t>
  </si>
  <si>
    <t>PT-0166</t>
  </si>
  <si>
    <t>Chidinma Eneh</t>
  </si>
  <si>
    <t>PT-0167</t>
  </si>
  <si>
    <t>Kelechi Nnaji</t>
  </si>
  <si>
    <t>PT-0168</t>
  </si>
  <si>
    <t>Sadiq Chikwendu</t>
  </si>
  <si>
    <t>PT-0169</t>
  </si>
  <si>
    <t>Musa Usman</t>
  </si>
  <si>
    <t>PT-0170</t>
  </si>
  <si>
    <t>Musa Musa</t>
  </si>
  <si>
    <t>PT-0171</t>
  </si>
  <si>
    <t>Anayo Sani</t>
  </si>
  <si>
    <t>PT-0172</t>
  </si>
  <si>
    <t>Wale Bello</t>
  </si>
  <si>
    <t>PT-0173</t>
  </si>
  <si>
    <t>Ekene Suleiman</t>
  </si>
  <si>
    <t>PT-0174</t>
  </si>
  <si>
    <t>Chinyere Bello</t>
  </si>
  <si>
    <t xml:space="preserve">Kingsgate Specialist Hospital </t>
  </si>
  <si>
    <t>PT-0175</t>
  </si>
  <si>
    <t>Aisha Okoye</t>
  </si>
  <si>
    <t>2026-06-07</t>
  </si>
  <si>
    <t>PT-0176</t>
  </si>
  <si>
    <t>Blessing Onuoha</t>
  </si>
  <si>
    <t>PT-0177</t>
  </si>
  <si>
    <t>Segun Eneh</t>
  </si>
  <si>
    <t>PT-0178</t>
  </si>
  <si>
    <t>Blessing Ogunleye</t>
  </si>
  <si>
    <t>PT-0179</t>
  </si>
  <si>
    <t>Gbenga Lawal</t>
  </si>
  <si>
    <t>PT-0180</t>
  </si>
  <si>
    <t>Amaka Eze</t>
  </si>
  <si>
    <t>PT-0181</t>
  </si>
  <si>
    <t>Ekene Musa</t>
  </si>
  <si>
    <t>PT-0182</t>
  </si>
  <si>
    <t>Nkechi Chukwu</t>
  </si>
  <si>
    <t>PT-0183</t>
  </si>
  <si>
    <t>Oluwaseun Bamidele</t>
  </si>
  <si>
    <t>PT-0184</t>
  </si>
  <si>
    <t>Bukola Ajayi</t>
  </si>
  <si>
    <t>PT-0185</t>
  </si>
  <si>
    <t>Kayode Nnaji</t>
  </si>
  <si>
    <t>PT-0186</t>
  </si>
  <si>
    <t>Adaeze Onuoha</t>
  </si>
  <si>
    <t>PT-0187</t>
  </si>
  <si>
    <t>Ejiro Bello</t>
  </si>
  <si>
    <t>PT-0188</t>
  </si>
  <si>
    <t>Amaka Ibe</t>
  </si>
  <si>
    <t>PT-0189</t>
  </si>
  <si>
    <t>Yusuf Yahaya</t>
  </si>
  <si>
    <t xml:space="preserve">Lakeview Road General Hospital </t>
  </si>
  <si>
    <t>PT-0190</t>
  </si>
  <si>
    <t>Gbenga Ogunleye</t>
  </si>
  <si>
    <t xml:space="preserve"> Silverbell Medical Centre </t>
  </si>
  <si>
    <t>2026-04-27</t>
  </si>
  <si>
    <t>PT-0191</t>
  </si>
  <si>
    <t>Emeka Ajayi</t>
  </si>
  <si>
    <t>PT-0192</t>
  </si>
  <si>
    <t>Halima Okonkwo</t>
  </si>
  <si>
    <t>PT-0193</t>
  </si>
  <si>
    <t>Chidinma Oyelaran</t>
  </si>
  <si>
    <t>PT-0194</t>
  </si>
  <si>
    <t>Zainab Umar</t>
  </si>
  <si>
    <t>PT-0195</t>
  </si>
  <si>
    <t>Amaka Okonkwo</t>
  </si>
  <si>
    <t>PT-0196</t>
  </si>
  <si>
    <t>PT-0197</t>
  </si>
  <si>
    <t>Ngozi Nwosu</t>
  </si>
  <si>
    <t>PT-0198</t>
  </si>
  <si>
    <t>Amaka Bamidele</t>
  </si>
  <si>
    <t>PT-0199</t>
  </si>
  <si>
    <t>Ibrahim Okoye</t>
  </si>
  <si>
    <t>PT-0200</t>
  </si>
  <si>
    <t>Blessing Umar</t>
  </si>
  <si>
    <t>Doctor Name</t>
  </si>
  <si>
    <t>Specialty</t>
  </si>
  <si>
    <t>Consultation Fee (NGN)</t>
  </si>
  <si>
    <t>Dr. Damilola Abubakar</t>
  </si>
  <si>
    <t>General Medicine</t>
  </si>
  <si>
    <t>Dr. Segun Ibe</t>
  </si>
  <si>
    <t>Dr. Folake Bamidele</t>
  </si>
  <si>
    <t>Cardiology</t>
  </si>
  <si>
    <t>Dr. Chukwuemeka Chidozie</t>
  </si>
  <si>
    <t>Family Medicine</t>
  </si>
  <si>
    <t>Dr. Hadiza Suleiman</t>
  </si>
  <si>
    <t>Dr. Uche Ogunleye</t>
  </si>
  <si>
    <t>Internal Medicine</t>
  </si>
  <si>
    <t>Dr. Bimpe Mohammed</t>
  </si>
  <si>
    <t>Dr. Blessing Obi</t>
  </si>
  <si>
    <t>Dr. Bukola Ajayi</t>
  </si>
  <si>
    <t>Infectious Disease</t>
  </si>
  <si>
    <t>Dr. Tunde Usman</t>
  </si>
  <si>
    <t>Dr. Adaugo Fashola</t>
  </si>
  <si>
    <t>Dr. Ifeoma Ibe</t>
  </si>
  <si>
    <t>Dr. Amaka Nwosu</t>
  </si>
  <si>
    <t>Dr. Oluwaseun Fashola</t>
  </si>
  <si>
    <t>Paediatrics</t>
  </si>
  <si>
    <t>Dr. Blessing Adekunle</t>
  </si>
  <si>
    <t>Dr. Maryam Adeyemi</t>
  </si>
  <si>
    <t>Dr. Bukola Yakubu</t>
  </si>
  <si>
    <t>Dr. Zainab Lawal</t>
  </si>
  <si>
    <t>Dr. Ronke Eze</t>
  </si>
  <si>
    <t>Dr. Ronke Nnaji</t>
  </si>
  <si>
    <t>Dr. Segun Ogundele</t>
  </si>
  <si>
    <t>Public Health</t>
  </si>
  <si>
    <t>Dr. Maryam Eneh</t>
  </si>
  <si>
    <t>Dr. Oluwaseun Ogunleye</t>
  </si>
  <si>
    <t>Dr. Yusuf Usman</t>
  </si>
  <si>
    <t>Dr. Damilola Chidozie</t>
  </si>
  <si>
    <t>Dr. Amaka Okafor</t>
  </si>
  <si>
    <t>Endocrinology</t>
  </si>
  <si>
    <t>Dr. Hadiza Eze</t>
  </si>
  <si>
    <t>Dr. Kayode Suleiman</t>
  </si>
  <si>
    <t>Dr. Ngozi Umar</t>
  </si>
  <si>
    <t>Dr. Oluwaseun Okoye</t>
  </si>
  <si>
    <t>Minimum Bill Amount (NGN)</t>
  </si>
  <si>
    <t>Billing Tier</t>
  </si>
  <si>
    <t>Tier 1 - Basic</t>
  </si>
  <si>
    <t>Tier 2 - Standard</t>
  </si>
  <si>
    <t>Tier 3 - Premium</t>
  </si>
  <si>
    <t>Tier 4 - Elite</t>
  </si>
  <si>
    <t>Minimum Age</t>
  </si>
  <si>
    <t>Life Stage</t>
  </si>
  <si>
    <t>Child</t>
  </si>
  <si>
    <t>Teen</t>
  </si>
  <si>
    <t>Young Adult</t>
  </si>
  <si>
    <t>Adult</t>
  </si>
  <si>
    <t>Senior</t>
  </si>
  <si>
    <t>Diagnosis Keyword</t>
  </si>
  <si>
    <t>Treatment Protocol</t>
  </si>
  <si>
    <t>Directly Observed Treatment Short-course (DOTS) - 6 month regimen</t>
  </si>
  <si>
    <t>Artemisinin-based Combination Therapy (ACT) - 3-day course</t>
  </si>
  <si>
    <t>Ciprofloxacin 500mg twice daily for 7-10 days</t>
  </si>
  <si>
    <t>Lifestyle modification + Amlodipine 5mg daily</t>
  </si>
  <si>
    <t>Diabetes</t>
  </si>
  <si>
    <t>Metformin 500mg twice daily + dietary counselling</t>
  </si>
  <si>
    <t>Oral Rehydration Therapy + Doxycycline</t>
  </si>
  <si>
    <t>Amoxicillin-Clavulanate 625mg three times daily for 7 days</t>
  </si>
  <si>
    <t>Regional Coordinator</t>
  </si>
  <si>
    <t>Funmilayo Adebayo</t>
  </si>
  <si>
    <t>Ibrahim Garba</t>
  </si>
  <si>
    <t>Hauwa Mustapha</t>
  </si>
  <si>
    <t>Ebiere Amadi</t>
  </si>
  <si>
    <t>Chidiebere Okoro</t>
  </si>
  <si>
    <t>Accreditation Standing</t>
  </si>
  <si>
    <t>Reimbursement %</t>
  </si>
  <si>
    <t>Hospital Network ID</t>
  </si>
  <si>
    <t>Age Bracket</t>
  </si>
  <si>
    <t>MEDCARE NIGERIA -HEALTH DATA ANALYTICS MODEL</t>
  </si>
  <si>
    <t xml:space="preserve">This model cleans, processes, and standardizes 200 longitudinal patient and billing records across five regional hospital hubs(Lagos, Abuja, Kano, Port Harcourt, and Enugu) to streamline financial audits.  </t>
  </si>
  <si>
    <t xml:space="preserve">       WORKSHOP ARCHITECTURE</t>
  </si>
  <si>
    <t xml:space="preserve">       PROJECT OBJECTIVE</t>
  </si>
  <si>
    <r>
      <rPr>
        <b/>
        <sz val="12"/>
        <color theme="1"/>
        <rFont val="Calibri"/>
        <family val="2"/>
        <scheme val="minor"/>
      </rPr>
      <t>Patient_Records</t>
    </r>
    <r>
      <rPr>
        <sz val="12"/>
        <color theme="1"/>
        <rFont val="Calibri"/>
        <family val="2"/>
        <scheme val="minor"/>
      </rPr>
      <t>: Main transactional data ledger housing raw inputs integrated with analytical lookup models.</t>
    </r>
  </si>
  <si>
    <t>Doctor's name</t>
  </si>
  <si>
    <r>
      <rPr>
        <b/>
        <sz val="12"/>
        <color theme="1"/>
        <rFont val="Calibri"/>
        <family val="2"/>
        <scheme val="minor"/>
      </rPr>
      <t>Readme_Documentation</t>
    </r>
    <r>
      <rPr>
        <sz val="12"/>
        <color theme="1"/>
        <rFont val="Calibri"/>
        <family val="2"/>
        <scheme val="minor"/>
      </rPr>
      <t xml:space="preserve"> :(This sheet) Project Overview, metadata, and user navigation instructions.</t>
    </r>
  </si>
  <si>
    <r>
      <rPr>
        <b/>
        <sz val="12"/>
        <color theme="1"/>
        <rFont val="Calibri"/>
        <family val="2"/>
        <scheme val="minor"/>
      </rPr>
      <t>Age_Bracket_Reference</t>
    </r>
    <r>
      <rPr>
        <sz val="12"/>
        <color theme="1"/>
        <rFont val="Calibri"/>
        <family val="2"/>
        <scheme val="minor"/>
      </rPr>
      <t>: Categorical demographics mapping patient ages into chronological lifecycle brackets.</t>
    </r>
  </si>
  <si>
    <t xml:space="preserve">      </t>
  </si>
  <si>
    <r>
      <rPr>
        <b/>
        <sz val="12"/>
        <color theme="1"/>
        <rFont val="Calibri"/>
        <family val="2"/>
        <scheme val="minor"/>
      </rPr>
      <t>Doctor_Directory</t>
    </r>
    <r>
      <rPr>
        <sz val="12"/>
        <color theme="1"/>
        <rFont val="Calibri"/>
        <family val="2"/>
        <scheme val="minor"/>
      </rPr>
      <t>: Central registry matching unique clinician codes to full providers name and base consultation rates.</t>
    </r>
  </si>
  <si>
    <r>
      <rPr>
        <b/>
        <sz val="12"/>
        <color theme="1"/>
        <rFont val="Calibri"/>
        <family val="2"/>
        <scheme val="minor"/>
      </rPr>
      <t>Bill_Tier_Reference</t>
    </r>
    <r>
      <rPr>
        <sz val="12"/>
        <color theme="1"/>
        <rFont val="Calibri"/>
        <family val="2"/>
        <scheme val="minor"/>
      </rPr>
      <t>: Range allocation tables sorting financial obligations into structured baseline tiers.</t>
    </r>
  </si>
  <si>
    <r>
      <rPr>
        <b/>
        <sz val="12"/>
        <color theme="1"/>
        <rFont val="Calibri"/>
        <family val="2"/>
        <scheme val="minor"/>
      </rPr>
      <t>Protocol _Reference</t>
    </r>
    <r>
      <rPr>
        <sz val="12"/>
        <color theme="1"/>
        <rFont val="Calibri"/>
        <family val="2"/>
        <scheme val="minor"/>
      </rPr>
      <t>: Clinical keywords matrix mapping unstructured medical diagnosis logs to official treatment paths.</t>
    </r>
  </si>
  <si>
    <r>
      <rPr>
        <b/>
        <sz val="12"/>
        <color theme="1"/>
        <rFont val="Calibri"/>
        <family val="2"/>
        <scheme val="minor"/>
      </rPr>
      <t>State_Coordinator</t>
    </r>
    <r>
      <rPr>
        <sz val="12"/>
        <color theme="1"/>
        <rFont val="Calibri"/>
        <family val="2"/>
        <scheme val="minor"/>
      </rPr>
      <t>: Regional tracking table linking target states to active administrative points of contact.</t>
    </r>
  </si>
  <si>
    <r>
      <rPr>
        <b/>
        <sz val="12"/>
        <color theme="1"/>
        <rFont val="Calibri"/>
        <family val="2"/>
        <scheme val="minor"/>
      </rPr>
      <t>Insurance_Reimbursement_Matrix</t>
    </r>
    <r>
      <rPr>
        <sz val="12"/>
        <color theme="1"/>
        <rFont val="Calibri"/>
        <family val="2"/>
        <scheme val="minor"/>
      </rPr>
      <t>: Two-dimensional matrix mapping insurance percentage payouts across regional boundaries.</t>
    </r>
  </si>
  <si>
    <r>
      <rPr>
        <b/>
        <sz val="12"/>
        <color theme="1"/>
        <rFont val="Calibri"/>
        <family val="2"/>
        <scheme val="minor"/>
      </rPr>
      <t xml:space="preserve">External: Hospital_Master.xlsx: </t>
    </r>
    <r>
      <rPr>
        <sz val="12"/>
        <color theme="1"/>
        <rFont val="Calibri"/>
        <family val="2"/>
        <scheme val="minor"/>
      </rPr>
      <t>Federated IT master file housing separate sheets for 'Hospital_Details' (Network IDs) and 'Accreditation_Benchmarks' (Standing Grades).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</si>
</sst>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[$₦-469]\ #,##0"/>
    <numFmt numFmtId="166" formatCode="[$₦-469]\ #,##0;\-[$₦-469]\ #,##0"/>
  </numFmts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color rgb="FFFFFFFF"/>
      <name val="Arial"/>
      <family val="2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3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9" fontId="2" fillId="0" borderId="0" xfId="0" applyNumberFormat="1" applyFont="1"/>
    <xf numFmtId="0" fontId="4" fillId="0" borderId="0" xfId="0" applyFont="1"/>
    <xf numFmtId="0" fontId="5" fillId="2" borderId="0" xfId="0" applyFont="1" applyFill="1" applyAlignment="1">
      <alignment horizontal="center" vertical="center"/>
    </xf>
    <xf numFmtId="9" fontId="0" fillId="0" borderId="0" xfId="2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7" fillId="0" borderId="0" xfId="0" applyFont="1"/>
    <xf numFmtId="0" fontId="6" fillId="0" borderId="0" xfId="0" applyFont="1"/>
    <xf numFmtId="0" fontId="11" fillId="0" borderId="0" xfId="0" applyFont="1"/>
    <xf numFmtId="164" fontId="1" fillId="2" borderId="0" xfId="1" applyNumberFormat="1" applyFont="1" applyFill="1" applyAlignment="1">
      <alignment horizontal="center" vertical="center"/>
    </xf>
    <xf numFmtId="164" fontId="2" fillId="0" borderId="0" xfId="1" applyNumberFormat="1" applyFont="1"/>
    <xf numFmtId="164" fontId="0" fillId="0" borderId="0" xfId="1" applyNumberFormat="1" applyFont="1"/>
    <xf numFmtId="165" fontId="5" fillId="2" borderId="0" xfId="0" applyNumberFormat="1" applyFont="1" applyFill="1" applyAlignment="1">
      <alignment horizontal="center" vertical="center"/>
    </xf>
    <xf numFmtId="165" fontId="0" fillId="0" borderId="0" xfId="0" applyNumberFormat="1"/>
    <xf numFmtId="166" fontId="5" fillId="2" borderId="0" xfId="1" applyNumberFormat="1" applyFont="1" applyFill="1" applyAlignment="1">
      <alignment horizontal="center" vertical="center"/>
    </xf>
    <xf numFmtId="166" fontId="2" fillId="0" borderId="0" xfId="1" applyNumberFormat="1" applyFont="1"/>
    <xf numFmtId="166" fontId="0" fillId="0" borderId="0" xfId="1" applyNumberFormat="1" applyFont="1"/>
    <xf numFmtId="9" fontId="5" fillId="2" borderId="0" xfId="2" applyFont="1" applyFill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Hospital_Master.xlsx" TargetMode="External"/><Relationship Id="rId1" Type="http://schemas.openxmlformats.org/officeDocument/2006/relationships/externalLinkPath" Target="Hospital_Maste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WEEK%202\Hospital_Master.xlsx" TargetMode="External"/><Relationship Id="rId1" Type="http://schemas.openxmlformats.org/officeDocument/2006/relationships/externalLinkPath" Target="WEEK%202/Hospital_Ma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spital_Details"/>
      <sheetName val="Accreditation_Benchmark"/>
    </sheetNames>
    <sheetDataSet>
      <sheetData sheetId="0">
        <row r="1">
          <cell r="A1" t="str">
            <v>Hospital Name</v>
          </cell>
        </row>
        <row r="2">
          <cell r="A2" t="str">
            <v>Palmgrove Specialist Hospital</v>
          </cell>
          <cell r="B2" t="str">
            <v>MC-LAG-01</v>
          </cell>
          <cell r="C2">
            <v>420</v>
          </cell>
          <cell r="D2" t="str">
            <v>Platinum</v>
          </cell>
        </row>
        <row r="3">
          <cell r="A3" t="str">
            <v>Brightwell Medical Centre</v>
          </cell>
          <cell r="B3" t="str">
            <v>MC-LAG-02</v>
          </cell>
          <cell r="C3">
            <v>60</v>
          </cell>
          <cell r="D3" t="str">
            <v>Bronze</v>
          </cell>
        </row>
        <row r="4">
          <cell r="A4" t="str">
            <v>Lakeview Road General Hospital</v>
          </cell>
          <cell r="B4" t="str">
            <v>MC-LAG-03</v>
          </cell>
          <cell r="C4">
            <v>45</v>
          </cell>
          <cell r="D4" t="str">
            <v>Bronze</v>
          </cell>
        </row>
        <row r="5">
          <cell r="A5" t="str">
            <v>Kingsgate Specialist Hospital</v>
          </cell>
          <cell r="B5" t="str">
            <v>MC-ABJ-01</v>
          </cell>
          <cell r="C5">
            <v>460</v>
          </cell>
          <cell r="D5" t="str">
            <v>Platinum</v>
          </cell>
        </row>
        <row r="6">
          <cell r="A6" t="str">
            <v>Silverbell Medical Centre</v>
          </cell>
          <cell r="B6" t="str">
            <v>MC-ABJ-02</v>
          </cell>
          <cell r="C6">
            <v>140</v>
          </cell>
          <cell r="D6" t="str">
            <v>Silver</v>
          </cell>
        </row>
        <row r="7">
          <cell r="A7" t="str">
            <v>Northview General Hospital</v>
          </cell>
          <cell r="B7" t="str">
            <v>MC-ABJ-03</v>
          </cell>
          <cell r="C7">
            <v>110</v>
          </cell>
          <cell r="D7" t="str">
            <v>Silver</v>
          </cell>
        </row>
        <row r="8">
          <cell r="A8" t="str">
            <v>Savannah Specialist Hospital</v>
          </cell>
          <cell r="B8" t="str">
            <v>MC-KAN-01</v>
          </cell>
          <cell r="C8">
            <v>110</v>
          </cell>
          <cell r="D8" t="str">
            <v>Silver</v>
          </cell>
        </row>
        <row r="9">
          <cell r="A9" t="str">
            <v>Goldcrest Medical Centre</v>
          </cell>
          <cell r="B9" t="str">
            <v>MC-KAN-02</v>
          </cell>
          <cell r="C9">
            <v>80</v>
          </cell>
          <cell r="D9" t="str">
            <v>Bronze</v>
          </cell>
        </row>
        <row r="10">
          <cell r="A10" t="str">
            <v>Riverbend General Hospital</v>
          </cell>
          <cell r="B10" t="str">
            <v>MC-KAN-03</v>
          </cell>
          <cell r="C10">
            <v>460</v>
          </cell>
          <cell r="D10" t="str">
            <v>Platinum</v>
          </cell>
        </row>
        <row r="11">
          <cell r="A11" t="str">
            <v>Harborlight Specialist Hospital</v>
          </cell>
          <cell r="B11" t="str">
            <v>MC-PHC-01</v>
          </cell>
          <cell r="C11">
            <v>60</v>
          </cell>
          <cell r="D11" t="str">
            <v>Bronze</v>
          </cell>
        </row>
        <row r="12">
          <cell r="A12" t="str">
            <v>Bluewater Medical Centre</v>
          </cell>
          <cell r="B12" t="str">
            <v>MC-PHC-02</v>
          </cell>
          <cell r="C12">
            <v>420</v>
          </cell>
          <cell r="D12" t="str">
            <v>Platinum</v>
          </cell>
        </row>
        <row r="13">
          <cell r="A13" t="str">
            <v>Palmfield General Hospital</v>
          </cell>
          <cell r="B13" t="str">
            <v>MC-PHC-03</v>
          </cell>
          <cell r="C13">
            <v>460</v>
          </cell>
          <cell r="D13" t="str">
            <v>Platinum</v>
          </cell>
        </row>
        <row r="14">
          <cell r="A14" t="str">
            <v>Hilltown Specialist Hospital</v>
          </cell>
          <cell r="B14" t="str">
            <v>MC-ENU-01</v>
          </cell>
          <cell r="C14">
            <v>310</v>
          </cell>
          <cell r="D14" t="str">
            <v>Gold</v>
          </cell>
        </row>
        <row r="15">
          <cell r="A15" t="str">
            <v>Cedarview Medical Centre</v>
          </cell>
          <cell r="B15" t="str">
            <v>MC-ENU-02</v>
          </cell>
          <cell r="C15">
            <v>60</v>
          </cell>
          <cell r="D15" t="str">
            <v>Bronze</v>
          </cell>
        </row>
        <row r="16">
          <cell r="A16" t="str">
            <v>Greenridge General Hospital</v>
          </cell>
          <cell r="B16" t="str">
            <v>MC-ENU-03</v>
          </cell>
          <cell r="C16">
            <v>380</v>
          </cell>
          <cell r="D16" t="str">
            <v>Gold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spital_Details"/>
      <sheetName val="Accreditation_Benchmark"/>
    </sheetNames>
    <sheetDataSet>
      <sheetData sheetId="0">
        <row r="2">
          <cell r="B2" t="str">
            <v>MC-LAG-01</v>
          </cell>
          <cell r="C2">
            <v>420</v>
          </cell>
          <cell r="D2" t="str">
            <v>Platinum</v>
          </cell>
        </row>
        <row r="3">
          <cell r="B3" t="str">
            <v>MC-LAG-02</v>
          </cell>
          <cell r="C3">
            <v>60</v>
          </cell>
          <cell r="D3" t="str">
            <v>Bronze</v>
          </cell>
        </row>
        <row r="4">
          <cell r="B4" t="str">
            <v>MC-LAG-03</v>
          </cell>
          <cell r="C4">
            <v>45</v>
          </cell>
          <cell r="D4" t="str">
            <v>Bronze</v>
          </cell>
        </row>
        <row r="5">
          <cell r="B5" t="str">
            <v>MC-ABJ-01</v>
          </cell>
          <cell r="C5">
            <v>460</v>
          </cell>
          <cell r="D5" t="str">
            <v>Platinum</v>
          </cell>
        </row>
        <row r="6">
          <cell r="B6" t="str">
            <v>MC-ABJ-02</v>
          </cell>
          <cell r="C6">
            <v>140</v>
          </cell>
          <cell r="D6" t="str">
            <v>Silver</v>
          </cell>
        </row>
        <row r="7">
          <cell r="B7" t="str">
            <v>MC-ABJ-03</v>
          </cell>
          <cell r="C7">
            <v>110</v>
          </cell>
          <cell r="D7" t="str">
            <v>Silver</v>
          </cell>
        </row>
        <row r="8">
          <cell r="B8" t="str">
            <v>MC-KAN-01</v>
          </cell>
          <cell r="C8">
            <v>110</v>
          </cell>
          <cell r="D8" t="str">
            <v>Silver</v>
          </cell>
        </row>
        <row r="9">
          <cell r="B9" t="str">
            <v>MC-KAN-02</v>
          </cell>
          <cell r="C9">
            <v>80</v>
          </cell>
          <cell r="D9" t="str">
            <v>Bronze</v>
          </cell>
        </row>
        <row r="10">
          <cell r="B10" t="str">
            <v>MC-KAN-03</v>
          </cell>
          <cell r="C10">
            <v>460</v>
          </cell>
          <cell r="D10" t="str">
            <v>Platinum</v>
          </cell>
        </row>
        <row r="11">
          <cell r="B11" t="str">
            <v>MC-PHC-01</v>
          </cell>
          <cell r="C11">
            <v>60</v>
          </cell>
          <cell r="D11" t="str">
            <v>Bronze</v>
          </cell>
        </row>
        <row r="12">
          <cell r="B12" t="str">
            <v>MC-PHC-02</v>
          </cell>
          <cell r="C12">
            <v>420</v>
          </cell>
          <cell r="D12" t="str">
            <v>Platinum</v>
          </cell>
        </row>
        <row r="13">
          <cell r="B13" t="str">
            <v>MC-PHC-03</v>
          </cell>
          <cell r="C13">
            <v>460</v>
          </cell>
          <cell r="D13" t="str">
            <v>Platinum</v>
          </cell>
        </row>
        <row r="14">
          <cell r="B14" t="str">
            <v>MC-ENU-01</v>
          </cell>
          <cell r="C14">
            <v>310</v>
          </cell>
          <cell r="D14" t="str">
            <v>Gold</v>
          </cell>
        </row>
        <row r="15">
          <cell r="B15" t="str">
            <v>MC-ENU-02</v>
          </cell>
          <cell r="C15">
            <v>60</v>
          </cell>
          <cell r="D15" t="str">
            <v>Bronze</v>
          </cell>
        </row>
        <row r="16">
          <cell r="B16" t="str">
            <v>MC-ENU-03</v>
          </cell>
          <cell r="C16">
            <v>380</v>
          </cell>
          <cell r="D16" t="str">
            <v>Gold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132AC-3FB5-456E-8480-C392F0F621E5}">
  <dimension ref="B2:B17"/>
  <sheetViews>
    <sheetView showGridLines="0" workbookViewId="0">
      <selection activeCell="B19" sqref="B19"/>
    </sheetView>
  </sheetViews>
  <sheetFormatPr defaultRowHeight="15" x14ac:dyDescent="0.25"/>
  <cols>
    <col min="1" max="1" width="9.140625" customWidth="1"/>
    <col min="2" max="2" width="189.5703125" customWidth="1"/>
  </cols>
  <sheetData>
    <row r="2" spans="2:2" ht="28.5" x14ac:dyDescent="0.45">
      <c r="B2" s="7" t="s">
        <v>648</v>
      </c>
    </row>
    <row r="4" spans="2:2" ht="23.25" x14ac:dyDescent="0.35">
      <c r="B4" s="8" t="s">
        <v>651</v>
      </c>
    </row>
    <row r="5" spans="2:2" ht="15.75" x14ac:dyDescent="0.25">
      <c r="B5" s="9" t="s">
        <v>649</v>
      </c>
    </row>
    <row r="7" spans="2:2" ht="21" x14ac:dyDescent="0.35">
      <c r="B7" s="10" t="s">
        <v>650</v>
      </c>
    </row>
    <row r="8" spans="2:2" ht="15.75" x14ac:dyDescent="0.25">
      <c r="B8" s="9" t="s">
        <v>654</v>
      </c>
    </row>
    <row r="9" spans="2:2" ht="15.75" x14ac:dyDescent="0.25">
      <c r="B9" s="9" t="s">
        <v>652</v>
      </c>
    </row>
    <row r="10" spans="2:2" ht="15.75" x14ac:dyDescent="0.25">
      <c r="B10" s="9" t="s">
        <v>657</v>
      </c>
    </row>
    <row r="11" spans="2:2" ht="15.75" x14ac:dyDescent="0.25">
      <c r="B11" s="9" t="s">
        <v>658</v>
      </c>
    </row>
    <row r="12" spans="2:2" ht="15.75" x14ac:dyDescent="0.25">
      <c r="B12" s="9" t="s">
        <v>655</v>
      </c>
    </row>
    <row r="13" spans="2:2" ht="15.75" x14ac:dyDescent="0.25">
      <c r="B13" s="9" t="s">
        <v>659</v>
      </c>
    </row>
    <row r="14" spans="2:2" ht="15.75" x14ac:dyDescent="0.25">
      <c r="B14" s="9" t="s">
        <v>660</v>
      </c>
    </row>
    <row r="15" spans="2:2" ht="15.75" x14ac:dyDescent="0.25">
      <c r="B15" s="9" t="s">
        <v>661</v>
      </c>
    </row>
    <row r="16" spans="2:2" ht="18.75" x14ac:dyDescent="0.3">
      <c r="B16" s="11" t="s">
        <v>656</v>
      </c>
    </row>
    <row r="17" spans="2:2" ht="15.75" x14ac:dyDescent="0.25">
      <c r="B17" s="9" t="s">
        <v>662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1"/>
  <sheetViews>
    <sheetView tabSelected="1" topLeftCell="G1" workbookViewId="0">
      <pane ySplit="1" topLeftCell="A2" activePane="bottomLeft" state="frozen"/>
      <selection pane="bottomLeft" activeCell="P3" sqref="P3"/>
    </sheetView>
  </sheetViews>
  <sheetFormatPr defaultRowHeight="15" x14ac:dyDescent="0.25"/>
  <cols>
    <col min="1" max="1" width="10" customWidth="1"/>
    <col min="2" max="2" width="20" customWidth="1"/>
    <col min="3" max="3" width="14" customWidth="1"/>
    <col min="4" max="4" width="34" customWidth="1"/>
    <col min="5" max="5" width="11.28515625" customWidth="1"/>
    <col min="6" max="6" width="6" customWidth="1"/>
    <col min="7" max="7" width="34.28515625" customWidth="1"/>
    <col min="8" max="8" width="18.28515625" customWidth="1"/>
    <col min="9" max="9" width="20" style="19" customWidth="1"/>
    <col min="10" max="10" width="16.42578125" customWidth="1"/>
    <col min="11" max="11" width="23.5703125" customWidth="1"/>
    <col min="12" max="12" width="21.28515625" customWidth="1"/>
    <col min="13" max="13" width="20.7109375" customWidth="1"/>
    <col min="14" max="14" width="15.5703125" customWidth="1"/>
    <col min="15" max="15" width="23.28515625" customWidth="1"/>
    <col min="16" max="16" width="23.7109375" customWidth="1"/>
    <col min="17" max="17" width="64.5703125" customWidth="1"/>
    <col min="18" max="18" width="27.42578125" style="16" customWidth="1"/>
    <col min="19" max="19" width="24" style="6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7" t="s">
        <v>8</v>
      </c>
      <c r="J1" s="1" t="s">
        <v>9</v>
      </c>
      <c r="K1" s="5" t="s">
        <v>653</v>
      </c>
      <c r="L1" s="5" t="s">
        <v>646</v>
      </c>
      <c r="M1" s="5" t="s">
        <v>616</v>
      </c>
      <c r="N1" s="5" t="s">
        <v>647</v>
      </c>
      <c r="O1" s="5" t="s">
        <v>638</v>
      </c>
      <c r="P1" s="5" t="s">
        <v>644</v>
      </c>
      <c r="Q1" s="5" t="s">
        <v>629</v>
      </c>
      <c r="R1" s="15" t="s">
        <v>576</v>
      </c>
      <c r="S1" s="20" t="s">
        <v>645</v>
      </c>
    </row>
    <row r="2" spans="1:19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76</v>
      </c>
      <c r="G2" s="4" t="s">
        <v>15</v>
      </c>
      <c r="H2" s="2" t="s">
        <v>16</v>
      </c>
      <c r="I2" s="18">
        <v>130392</v>
      </c>
      <c r="J2" s="2">
        <v>3</v>
      </c>
      <c r="K2" t="str">
        <f>_xlfn.IFNA(VLOOKUP(TRIM(E2),Doctor_Directory!$A$2:$D$31,2,FALSE),"No name")</f>
        <v>Dr. Blessing Adekunle</v>
      </c>
      <c r="L2" t="str">
        <f>VLOOKUP(TRIM(D2),[1]Hospital_Details!$A$2:$D$16,2,FALSE)</f>
        <v>MC-PHC-01</v>
      </c>
      <c r="M2" t="str">
        <f>VLOOKUP(I2,Bill_Tier_Reference!$A$2:$B$5,2,TRUE)</f>
        <v>Tier 3 - Premium</v>
      </c>
      <c r="N2" t="str">
        <f>VLOOKUP(F2,Age_Bracket_Reference!$A$2:$B$6,2,TRUE)</f>
        <v>Senior</v>
      </c>
      <c r="O2" t="str">
        <f>VLOOKUP(C2,State_Coordinator!$A$2:$B$6,2,FALSE)</f>
        <v>Ebiere Amadi</v>
      </c>
      <c r="P2" t="str">
        <f>VLOOKUP(L2,[2]Hospital_Details!$B$2:$D$16,3,FALSE)</f>
        <v>Bronze</v>
      </c>
      <c r="Q2" t="str" cm="1">
        <f t="array" ref="Q2">_xlfn.IFS(ISNUMBER(SEARCH("TB", G2)),Protocol_Reference!$B$2, ISNUMBER(SEARCH("Malaria",G2)),Protocol_Reference!$B$3, ISNUMBER(SEARCH("Typhoid",G2)),Protocol_Reference!$B$4, ISNUMBER(SEARCH("Hypertension", G2,)),Protocol_Reference!$B$5, ISNUMBER(SEARCH("Diabetes", G2)),Protocol_Reference!$B$6, ISNUMBER(SEARCH("Cholera", G2)),Protocol_Reference!$B$7, ISNUMBER(SEARCH("Pneumonia", G2)),Protocol_Reference!$B$8, TRUE, "Out of scope/ Routine Care")</f>
        <v>Ciprofloxacin 500mg twice daily for 7-10 days</v>
      </c>
      <c r="R2" s="16">
        <f>IFERROR(VLOOKUP(E2,Doctor_Directory!$A$2:$D$31,4,FALSE),"Check Doctor Code")</f>
        <v>10000</v>
      </c>
      <c r="S2" s="6" cm="1">
        <f t="array" ref="S2">_xlfn.XLOOKUP(C2,Insurance_Reimbursement_Matrix!$A$2:$A$6,_xlfn.XLOOKUP(_xlfn.XLOOKUP(F2,Age_Bracket_Reference!$A$2:$A$6,Age_Bracket_Reference!$B$2:$B$6,,-1),Insurance_Reimbursement_Matrix!$B$1:$F$1,Insurance_Reimbursement_Matrix!$B$2:$F$6))</f>
        <v>0.79</v>
      </c>
    </row>
    <row r="3" spans="1:19" x14ac:dyDescent="0.25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>
        <v>13</v>
      </c>
      <c r="G3" s="2" t="s">
        <v>22</v>
      </c>
      <c r="H3" s="2" t="s">
        <v>23</v>
      </c>
      <c r="I3" s="18">
        <v>11667</v>
      </c>
      <c r="J3" s="2">
        <v>7</v>
      </c>
      <c r="K3" t="str">
        <f>_xlfn.IFNA(VLOOKUP(TRIM(E3),Doctor_Directory!$A$2:$D$31,2,FALSE),"No name")</f>
        <v>Dr. Amaka Nwosu</v>
      </c>
      <c r="L3" t="str">
        <f>VLOOKUP(TRIM(D3),[1]Hospital_Details!$A$2:$D$16,2,FALSE)</f>
        <v>MC-LAG-01</v>
      </c>
      <c r="M3" t="str">
        <f>VLOOKUP(I3,Bill_Tier_Reference!$A$2:$B$5,2,TRUE)</f>
        <v>Tier 1 - Basic</v>
      </c>
      <c r="N3" t="str">
        <f>VLOOKUP(F3,Age_Bracket_Reference!$A$2:$B$6,2,TRUE)</f>
        <v>Teen</v>
      </c>
      <c r="O3" t="str">
        <f>VLOOKUP(C3,State_Coordinator!$A$2:$B$6,2,FALSE)</f>
        <v>Funmilayo Adebayo</v>
      </c>
      <c r="P3" t="str">
        <f>VLOOKUP(L3,[2]Hospital_Details!$B$2:$D$16,3,FALSE)</f>
        <v>Platinum</v>
      </c>
      <c r="Q3" t="str" cm="1">
        <f t="array" ref="Q3">_xlfn.IFS(ISNUMBER(SEARCH("TB", G3)),Protocol_Reference!$B$2, ISNUMBER(SEARCH("Malaria",G3)),Protocol_Reference!$B$3, ISNUMBER(SEARCH("Typhoid",G3)),Protocol_Reference!$B$4, ISNUMBER(SEARCH("Hypertension", G3,)),Protocol_Reference!$B$5, ISNUMBER(SEARCH("Diabetes", G3)),Protocol_Reference!$B$6, ISNUMBER(SEARCH("Cholera", G3)),Protocol_Reference!$B$7, ISNUMBER(SEARCH("Pneumonia", G3)),Protocol_Reference!$B$8, TRUE, "Out of scope/ Routine Care")</f>
        <v>Out of scope/ Routine Care</v>
      </c>
      <c r="R3" s="16">
        <f>IFERROR(VLOOKUP(E3,Doctor_Directory!$A$2:$D$31,4,FALSE),"Check Doctor Code")</f>
        <v>5500</v>
      </c>
      <c r="S3" s="6" cm="1">
        <f t="array" ref="S3">_xlfn.XLOOKUP(C3,Insurance_Reimbursement_Matrix!$A$2:$A$6,_xlfn.XLOOKUP(_xlfn.XLOOKUP(F3,Age_Bracket_Reference!$A$2:$A$6,Age_Bracket_Reference!$B$2:$B$6,,-1),Insurance_Reimbursement_Matrix!$B$1:$F$1,Insurance_Reimbursement_Matrix!$B$2:$F$6))</f>
        <v>0.72</v>
      </c>
    </row>
    <row r="4" spans="1:19" x14ac:dyDescent="0.25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>
        <v>47</v>
      </c>
      <c r="G4" s="2" t="s">
        <v>29</v>
      </c>
      <c r="H4" s="2" t="s">
        <v>30</v>
      </c>
      <c r="I4" s="18">
        <v>161673</v>
      </c>
      <c r="J4" s="2">
        <v>2</v>
      </c>
      <c r="K4" t="str">
        <f>_xlfn.IFNA(VLOOKUP(TRIM(E4),Doctor_Directory!$A$2:$D$31,2,FALSE),"No name")</f>
        <v>Dr. Ronke Nnaji</v>
      </c>
      <c r="L4" t="str">
        <f>VLOOKUP(TRIM(D4),[1]Hospital_Details!$A$2:$D$16,2,FALSE)</f>
        <v>MC-KAN-03</v>
      </c>
      <c r="M4" t="str">
        <f>VLOOKUP(I4,Bill_Tier_Reference!$A$2:$B$5,2,TRUE)</f>
        <v>Tier 3 - Premium</v>
      </c>
      <c r="N4" t="str">
        <f>VLOOKUP(F4,Age_Bracket_Reference!$A$2:$B$6,2,TRUE)</f>
        <v>Adult</v>
      </c>
      <c r="O4" t="str">
        <f>VLOOKUP(C4,State_Coordinator!$A$2:$B$6,2,FALSE)</f>
        <v>Hauwa Mustapha</v>
      </c>
      <c r="P4" t="str">
        <f>VLOOKUP(L4,[2]Hospital_Details!$B$2:$D$16,3,FALSE)</f>
        <v>Platinum</v>
      </c>
      <c r="Q4" t="str" cm="1">
        <f t="array" ref="Q4">_xlfn.IFS(ISNUMBER(SEARCH("TB", G4)),Protocol_Reference!$B$2, ISNUMBER(SEARCH("Malaria",G4)),Protocol_Reference!$B$3, ISNUMBER(SEARCH("Typhoid",G4)),Protocol_Reference!$B$4, ISNUMBER(SEARCH("Hypertension", G4,)),Protocol_Reference!$B$5, ISNUMBER(SEARCH("Diabetes", G4)),Protocol_Reference!$B$6, ISNUMBER(SEARCH("Cholera", G4)),Protocol_Reference!$B$7, ISNUMBER(SEARCH("Pneumonia", G4)),Protocol_Reference!$B$8, TRUE, "Out of scope/ Routine Care")</f>
        <v>Artemisinin-based Combination Therapy (ACT) - 3-day course</v>
      </c>
      <c r="R4" s="16">
        <f>IFERROR(VLOOKUP(E4,Doctor_Directory!$A$2:$D$31,4,FALSE),"Check Doctor Code")</f>
        <v>4000</v>
      </c>
      <c r="S4" s="6" cm="1">
        <f t="array" ref="S4">_xlfn.XLOOKUP(C4,Insurance_Reimbursement_Matrix!$A$2:$A$6,_xlfn.XLOOKUP(_xlfn.XLOOKUP(F4,Age_Bracket_Reference!$A$2:$A$6,Age_Bracket_Reference!$B$2:$B$6,,-1),Insurance_Reimbursement_Matrix!$B$1:$F$1,Insurance_Reimbursement_Matrix!$B$2:$F$6))</f>
        <v>0.73</v>
      </c>
    </row>
    <row r="5" spans="1:19" x14ac:dyDescent="0.25">
      <c r="A5" s="2" t="s">
        <v>31</v>
      </c>
      <c r="B5" s="2" t="s">
        <v>32</v>
      </c>
      <c r="C5" s="2" t="s">
        <v>12</v>
      </c>
      <c r="D5" s="2" t="s">
        <v>33</v>
      </c>
      <c r="E5" s="2" t="s">
        <v>14</v>
      </c>
      <c r="F5" s="2">
        <v>82</v>
      </c>
      <c r="G5" s="2" t="s">
        <v>22</v>
      </c>
      <c r="H5" s="2" t="s">
        <v>34</v>
      </c>
      <c r="I5" s="18">
        <v>15130</v>
      </c>
      <c r="J5" s="2">
        <v>10</v>
      </c>
      <c r="K5" t="str">
        <f>_xlfn.IFNA(VLOOKUP(TRIM(E5),Doctor_Directory!$A$2:$D$31,2,FALSE),"No name")</f>
        <v>Dr. Blessing Adekunle</v>
      </c>
      <c r="L5" t="str">
        <f>VLOOKUP(TRIM(D5),[1]Hospital_Details!$A$2:$D$16,2,FALSE)</f>
        <v>MC-PHC-02</v>
      </c>
      <c r="M5" t="str">
        <f>VLOOKUP(I5,Bill_Tier_Reference!$A$2:$B$5,2,TRUE)</f>
        <v>Tier 1 - Basic</v>
      </c>
      <c r="N5" t="str">
        <f>VLOOKUP(F5,Age_Bracket_Reference!$A$2:$B$6,2,TRUE)</f>
        <v>Senior</v>
      </c>
      <c r="O5" t="str">
        <f>VLOOKUP(C5,State_Coordinator!$A$2:$B$6,2,FALSE)</f>
        <v>Ebiere Amadi</v>
      </c>
      <c r="P5" t="str">
        <f>VLOOKUP(L5,[2]Hospital_Details!$B$2:$D$16,3,FALSE)</f>
        <v>Platinum</v>
      </c>
      <c r="Q5" t="str" cm="1">
        <f t="array" ref="Q5">_xlfn.IFS(ISNUMBER(SEARCH("TB", G5)),Protocol_Reference!$B$2, ISNUMBER(SEARCH("Malaria",G5)),Protocol_Reference!$B$3, ISNUMBER(SEARCH("Typhoid",G5)),Protocol_Reference!$B$4, ISNUMBER(SEARCH("Hypertension", G5,)),Protocol_Reference!$B$5, ISNUMBER(SEARCH("Diabetes", G5)),Protocol_Reference!$B$6, ISNUMBER(SEARCH("Cholera", G5)),Protocol_Reference!$B$7, ISNUMBER(SEARCH("Pneumonia", G5)),Protocol_Reference!$B$8, TRUE, "Out of scope/ Routine Care")</f>
        <v>Out of scope/ Routine Care</v>
      </c>
      <c r="R5" s="16">
        <f>IFERROR(VLOOKUP(E5,Doctor_Directory!$A$2:$D$31,4,FALSE),"Check Doctor Code")</f>
        <v>10000</v>
      </c>
      <c r="S5" s="6" cm="1">
        <f t="array" ref="S5">_xlfn.XLOOKUP(C5,Insurance_Reimbursement_Matrix!$A$2:$A$6,_xlfn.XLOOKUP(_xlfn.XLOOKUP(F5,Age_Bracket_Reference!$A$2:$A$6,Age_Bracket_Reference!$B$2:$B$6,,-1),Insurance_Reimbursement_Matrix!$B$1:$F$1,Insurance_Reimbursement_Matrix!$B$2:$F$6))</f>
        <v>0.79</v>
      </c>
    </row>
    <row r="6" spans="1:19" x14ac:dyDescent="0.25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>
        <v>21</v>
      </c>
      <c r="G6" s="4" t="s">
        <v>40</v>
      </c>
      <c r="H6" s="2" t="s">
        <v>41</v>
      </c>
      <c r="I6" s="18">
        <v>165198</v>
      </c>
      <c r="J6" s="2">
        <v>14</v>
      </c>
      <c r="K6" t="str">
        <f>_xlfn.IFNA(VLOOKUP(TRIM(E6),Doctor_Directory!$A$2:$D$31,2,FALSE),"No name")</f>
        <v>Dr. Blessing Obi</v>
      </c>
      <c r="L6" t="str">
        <f>VLOOKUP(TRIM(D6),[1]Hospital_Details!$A$2:$D$16,2,FALSE)</f>
        <v>MC-ENU-03</v>
      </c>
      <c r="M6" t="str">
        <f>VLOOKUP(I6,Bill_Tier_Reference!$A$2:$B$5,2,TRUE)</f>
        <v>Tier 3 - Premium</v>
      </c>
      <c r="N6" t="str">
        <f>VLOOKUP(F6,Age_Bracket_Reference!$A$2:$B$6,2,TRUE)</f>
        <v>Young Adult</v>
      </c>
      <c r="O6" t="str">
        <f>VLOOKUP(C6,State_Coordinator!$A$2:$B$6,2,FALSE)</f>
        <v>Chidiebere Okoro</v>
      </c>
      <c r="P6" t="str">
        <f>VLOOKUP(L6,[2]Hospital_Details!$B$2:$D$16,3,FALSE)</f>
        <v>Gold</v>
      </c>
      <c r="Q6" t="str" cm="1">
        <f t="array" ref="Q6">_xlfn.IFS(ISNUMBER(SEARCH("TB", G6)),Protocol_Reference!$B$2, ISNUMBER(SEARCH("Malaria",G6)),Protocol_Reference!$B$3, ISNUMBER(SEARCH("Typhoid",G6)),Protocol_Reference!$B$4, ISNUMBER(SEARCH("Hypertension", G6,)),Protocol_Reference!$B$5, ISNUMBER(SEARCH("Diabetes", G6)),Protocol_Reference!$B$6, ISNUMBER(SEARCH("Cholera", G6)),Protocol_Reference!$B$7, ISNUMBER(SEARCH("Pneumonia", G6)),Protocol_Reference!$B$8, TRUE, "Out of scope/ Routine Care")</f>
        <v>Oral Rehydration Therapy + Doxycycline</v>
      </c>
      <c r="R6" s="16">
        <f>IFERROR(VLOOKUP(E6,Doctor_Directory!$A$2:$D$31,4,FALSE),"Check Doctor Code")</f>
        <v>3500</v>
      </c>
      <c r="S6" s="6" cm="1">
        <f t="array" ref="S6">_xlfn.XLOOKUP(C6,Insurance_Reimbursement_Matrix!$A$2:$A$6,_xlfn.XLOOKUP(_xlfn.XLOOKUP(F6,Age_Bracket_Reference!$A$2:$A$6,Age_Bracket_Reference!$B$2:$B$6,,-1),Insurance_Reimbursement_Matrix!$B$1:$F$1,Insurance_Reimbursement_Matrix!$B$2:$F$6))</f>
        <v>0.69</v>
      </c>
    </row>
    <row r="7" spans="1:19" x14ac:dyDescent="0.25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>
        <v>41</v>
      </c>
      <c r="G7" s="2" t="s">
        <v>47</v>
      </c>
      <c r="H7" s="2" t="s">
        <v>48</v>
      </c>
      <c r="I7" s="18">
        <v>33826</v>
      </c>
      <c r="J7" s="2">
        <v>11</v>
      </c>
      <c r="K7" t="str">
        <f>_xlfn.IFNA(VLOOKUP(TRIM(E7),Doctor_Directory!$A$2:$D$31,2,FALSE),"No name")</f>
        <v>Dr. Amaka Okafor</v>
      </c>
      <c r="L7" t="str">
        <f>VLOOKUP(TRIM(D7),[1]Hospital_Details!$A$2:$D$16,2,FALSE)</f>
        <v>MC-ABJ-01</v>
      </c>
      <c r="M7" t="str">
        <f>VLOOKUP(I7,Bill_Tier_Reference!$A$2:$B$5,2,TRUE)</f>
        <v>Tier 2 - Standard</v>
      </c>
      <c r="N7" t="str">
        <f>VLOOKUP(F7,Age_Bracket_Reference!$A$2:$B$6,2,TRUE)</f>
        <v>Adult</v>
      </c>
      <c r="O7" t="str">
        <f>VLOOKUP(C7,State_Coordinator!$A$2:$B$6,2,FALSE)</f>
        <v>Ibrahim Garba</v>
      </c>
      <c r="P7" t="str">
        <f>VLOOKUP(L7,[2]Hospital_Details!$B$2:$D$16,3,FALSE)</f>
        <v>Platinum</v>
      </c>
      <c r="Q7" t="str" cm="1">
        <f t="array" ref="Q7">_xlfn.IFS(ISNUMBER(SEARCH("TB", G7)),Protocol_Reference!$B$2, ISNUMBER(SEARCH("Malaria",G7)),Protocol_Reference!$B$3, ISNUMBER(SEARCH("Typhoid",G7)),Protocol_Reference!$B$4, ISNUMBER(SEARCH("Hypertension", G7,)),Protocol_Reference!$B$5, ISNUMBER(SEARCH("Diabetes", G7)),Protocol_Reference!$B$6, ISNUMBER(SEARCH("Cholera", G7)),Protocol_Reference!$B$7, ISNUMBER(SEARCH("Pneumonia", G7)),Protocol_Reference!$B$8, TRUE, "Out of scope/ Routine Care")</f>
        <v>Metformin 500mg twice daily + dietary counselling</v>
      </c>
      <c r="R7" s="16">
        <f>IFERROR(VLOOKUP(E7,Doctor_Directory!$A$2:$D$31,4,FALSE),"Check Doctor Code")</f>
        <v>4000</v>
      </c>
      <c r="S7" s="6" cm="1">
        <f t="array" ref="S7">_xlfn.XLOOKUP(C7,Insurance_Reimbursement_Matrix!$A$2:$A$6,_xlfn.XLOOKUP(_xlfn.XLOOKUP(F7,Age_Bracket_Reference!$A$2:$A$6,Age_Bracket_Reference!$B$2:$B$6,,-1),Insurance_Reimbursement_Matrix!$B$1:$F$1,Insurance_Reimbursement_Matrix!$B$2:$F$6))</f>
        <v>0.65</v>
      </c>
    </row>
    <row r="8" spans="1:19" x14ac:dyDescent="0.25">
      <c r="A8" s="2" t="s">
        <v>49</v>
      </c>
      <c r="B8" s="2" t="s">
        <v>50</v>
      </c>
      <c r="C8" s="2" t="s">
        <v>12</v>
      </c>
      <c r="D8" s="2" t="s">
        <v>51</v>
      </c>
      <c r="E8" s="2" t="s">
        <v>52</v>
      </c>
      <c r="F8" s="2">
        <v>32</v>
      </c>
      <c r="G8" s="2" t="s">
        <v>53</v>
      </c>
      <c r="H8" s="2" t="s">
        <v>54</v>
      </c>
      <c r="I8" s="18">
        <v>424622</v>
      </c>
      <c r="J8" s="2">
        <v>6</v>
      </c>
      <c r="K8" t="str">
        <f>_xlfn.IFNA(VLOOKUP(TRIM(E8),Doctor_Directory!$A$2:$D$31,2,FALSE),"No name")</f>
        <v>No name</v>
      </c>
      <c r="L8" t="str">
        <f>VLOOKUP(TRIM(D8),[1]Hospital_Details!$A$2:$D$16,2,FALSE)</f>
        <v>MC-PHC-01</v>
      </c>
      <c r="M8" t="str">
        <f>VLOOKUP(I8,Bill_Tier_Reference!$A$2:$B$5,2,TRUE)</f>
        <v>Tier 4 - Elite</v>
      </c>
      <c r="N8" t="str">
        <f>VLOOKUP(F8,Age_Bracket_Reference!$A$2:$B$6,2,TRUE)</f>
        <v>Young Adult</v>
      </c>
      <c r="O8" t="str">
        <f>VLOOKUP(C8,State_Coordinator!$A$2:$B$6,2,FALSE)</f>
        <v>Ebiere Amadi</v>
      </c>
      <c r="P8" t="str">
        <f>VLOOKUP(L8,[2]Hospital_Details!$B$2:$D$16,3,FALSE)</f>
        <v>Bronze</v>
      </c>
      <c r="Q8" t="str" cm="1">
        <f t="array" ref="Q8">_xlfn.IFS(ISNUMBER(SEARCH("TB", G8)),Protocol_Reference!$B$2, ISNUMBER(SEARCH("Malaria",G8)),Protocol_Reference!$B$3, ISNUMBER(SEARCH("Typhoid",G8)),Protocol_Reference!$B$4, ISNUMBER(SEARCH("Hypertension", G8,)),Protocol_Reference!$B$5, ISNUMBER(SEARCH("Diabetes", G8)),Protocol_Reference!$B$6, ISNUMBER(SEARCH("Cholera", G8)),Protocol_Reference!$B$7, ISNUMBER(SEARCH("Pneumonia", G8)),Protocol_Reference!$B$8, TRUE, "Out of scope/ Routine Care")</f>
        <v>Out of scope/ Routine Care</v>
      </c>
      <c r="R8" s="16" t="str">
        <f>IFERROR(VLOOKUP(E8,Doctor_Directory!$A$2:$D$31,4,FALSE),"Check Doctor Code")</f>
        <v>Check Doctor Code</v>
      </c>
      <c r="S8" s="6" cm="1">
        <f t="array" ref="S8">_xlfn.XLOOKUP(C8,Insurance_Reimbursement_Matrix!$A$2:$A$6,_xlfn.XLOOKUP(_xlfn.XLOOKUP(F8,Age_Bracket_Reference!$A$2:$A$6,Age_Bracket_Reference!$B$2:$B$6,,-1),Insurance_Reimbursement_Matrix!$B$1:$F$1,Insurance_Reimbursement_Matrix!$B$2:$F$6))</f>
        <v>0.69</v>
      </c>
    </row>
    <row r="9" spans="1:19" x14ac:dyDescent="0.25">
      <c r="A9" s="2" t="s">
        <v>55</v>
      </c>
      <c r="B9" s="2" t="s">
        <v>56</v>
      </c>
      <c r="C9" s="2" t="s">
        <v>37</v>
      </c>
      <c r="D9" s="2" t="s">
        <v>57</v>
      </c>
      <c r="E9" s="2" t="s">
        <v>58</v>
      </c>
      <c r="F9" s="2">
        <v>7</v>
      </c>
      <c r="G9" s="2" t="s">
        <v>59</v>
      </c>
      <c r="H9" s="2" t="s">
        <v>60</v>
      </c>
      <c r="I9" s="18">
        <v>8242</v>
      </c>
      <c r="J9" s="2">
        <v>7</v>
      </c>
      <c r="K9" t="str">
        <f>_xlfn.IFNA(VLOOKUP(TRIM(E9),Doctor_Directory!$A$2:$D$31,2,FALSE),"No name")</f>
        <v>Dr. Damilola Chidozie</v>
      </c>
      <c r="L9" t="str">
        <f>VLOOKUP(TRIM(D9),[1]Hospital_Details!$A$2:$D$16,2,FALSE)</f>
        <v>MC-ENU-02</v>
      </c>
      <c r="M9" t="str">
        <f>VLOOKUP(I9,Bill_Tier_Reference!$A$2:$B$5,2,TRUE)</f>
        <v>Tier 1 - Basic</v>
      </c>
      <c r="N9" t="str">
        <f>VLOOKUP(F9,Age_Bracket_Reference!$A$2:$B$6,2,TRUE)</f>
        <v>Child</v>
      </c>
      <c r="O9" t="str">
        <f>VLOOKUP(C9,State_Coordinator!$A$2:$B$6,2,FALSE)</f>
        <v>Chidiebere Okoro</v>
      </c>
      <c r="P9" t="str">
        <f>VLOOKUP(L9,[2]Hospital_Details!$B$2:$D$16,3,FALSE)</f>
        <v>Bronze</v>
      </c>
      <c r="Q9" t="str" cm="1">
        <f t="array" ref="Q9">_xlfn.IFS(ISNUMBER(SEARCH("TB", G9)),Protocol_Reference!$B$2, ISNUMBER(SEARCH("Malaria",G9)),Protocol_Reference!$B$3, ISNUMBER(SEARCH("Typhoid",G9)),Protocol_Reference!$B$4, ISNUMBER(SEARCH("Hypertension", G9,)),Protocol_Reference!$B$5, ISNUMBER(SEARCH("Diabetes", G9)),Protocol_Reference!$B$6, ISNUMBER(SEARCH("Cholera", G9)),Protocol_Reference!$B$7, ISNUMBER(SEARCH("Pneumonia", G9)),Protocol_Reference!$B$8, TRUE, "Out of scope/ Routine Care")</f>
        <v>Directly Observed Treatment Short-course (DOTS) - 6 month regimen</v>
      </c>
      <c r="R9" s="16">
        <f>IFERROR(VLOOKUP(E9,Doctor_Directory!$A$2:$D$31,4,FALSE),"Check Doctor Code")</f>
        <v>6000</v>
      </c>
      <c r="S9" s="6" cm="1">
        <f t="array" ref="S9">_xlfn.XLOOKUP(C9,Insurance_Reimbursement_Matrix!$A$2:$A$6,_xlfn.XLOOKUP(_xlfn.XLOOKUP(F9,Age_Bracket_Reference!$A$2:$A$6,Age_Bracket_Reference!$B$2:$B$6,,-1),Insurance_Reimbursement_Matrix!$B$1:$F$1,Insurance_Reimbursement_Matrix!$B$2:$F$6))</f>
        <v>0.9</v>
      </c>
    </row>
    <row r="10" spans="1:19" x14ac:dyDescent="0.25">
      <c r="A10" s="2" t="s">
        <v>61</v>
      </c>
      <c r="B10" s="2" t="s">
        <v>62</v>
      </c>
      <c r="C10" s="2" t="s">
        <v>12</v>
      </c>
      <c r="D10" s="2" t="s">
        <v>63</v>
      </c>
      <c r="E10" s="2" t="s">
        <v>64</v>
      </c>
      <c r="F10" s="2">
        <v>2</v>
      </c>
      <c r="G10" s="2" t="s">
        <v>65</v>
      </c>
      <c r="H10" s="2" t="s">
        <v>66</v>
      </c>
      <c r="I10" s="18">
        <v>11743</v>
      </c>
      <c r="J10" s="2">
        <v>5</v>
      </c>
      <c r="K10" t="str">
        <f>_xlfn.IFNA(VLOOKUP(TRIM(E10),Doctor_Directory!$A$2:$D$31,2,FALSE),"No name")</f>
        <v>Dr. Zainab Lawal</v>
      </c>
      <c r="L10" t="str">
        <f>VLOOKUP(TRIM(D10),[1]Hospital_Details!$A$2:$D$16,2,FALSE)</f>
        <v>MC-PHC-03</v>
      </c>
      <c r="M10" t="str">
        <f>VLOOKUP(I10,Bill_Tier_Reference!$A$2:$B$5,2,TRUE)</f>
        <v>Tier 1 - Basic</v>
      </c>
      <c r="N10" t="str">
        <f>VLOOKUP(F10,Age_Bracket_Reference!$A$2:$B$6,2,TRUE)</f>
        <v>Child</v>
      </c>
      <c r="O10" t="str">
        <f>VLOOKUP(C10,State_Coordinator!$A$2:$B$6,2,FALSE)</f>
        <v>Ebiere Amadi</v>
      </c>
      <c r="P10" t="str">
        <f>VLOOKUP(L10,[2]Hospital_Details!$B$2:$D$16,3,FALSE)</f>
        <v>Platinum</v>
      </c>
      <c r="Q10" t="str" cm="1">
        <f t="array" ref="Q10">_xlfn.IFS(ISNUMBER(SEARCH("TB", G10)),Protocol_Reference!$B$2, ISNUMBER(SEARCH("Malaria",G10)),Protocol_Reference!$B$3, ISNUMBER(SEARCH("Typhoid",G10)),Protocol_Reference!$B$4, ISNUMBER(SEARCH("Hypertension", G10,)),Protocol_Reference!$B$5, ISNUMBER(SEARCH("Diabetes", G10)),Protocol_Reference!$B$6, ISNUMBER(SEARCH("Cholera", G10)),Protocol_Reference!$B$7, ISNUMBER(SEARCH("Pneumonia", G10)),Protocol_Reference!$B$8, TRUE, "Out of scope/ Routine Care")</f>
        <v>Out of scope/ Routine Care</v>
      </c>
      <c r="R10" s="16">
        <f>IFERROR(VLOOKUP(E10,Doctor_Directory!$A$2:$D$31,4,FALSE),"Check Doctor Code")</f>
        <v>10000</v>
      </c>
      <c r="S10" s="6" cm="1">
        <f t="array" ref="S10">_xlfn.XLOOKUP(C10,Insurance_Reimbursement_Matrix!$A$2:$A$6,_xlfn.XLOOKUP(_xlfn.XLOOKUP(F10,Age_Bracket_Reference!$A$2:$A$6,Age_Bracket_Reference!$B$2:$B$6,,-1),Insurance_Reimbursement_Matrix!$B$1:$F$1,Insurance_Reimbursement_Matrix!$B$2:$F$6))</f>
        <v>0.82</v>
      </c>
    </row>
    <row r="11" spans="1:19" x14ac:dyDescent="0.25">
      <c r="A11" s="2" t="s">
        <v>67</v>
      </c>
      <c r="B11" s="2" t="s">
        <v>68</v>
      </c>
      <c r="C11" s="2" t="s">
        <v>12</v>
      </c>
      <c r="D11" s="2" t="s">
        <v>13</v>
      </c>
      <c r="E11" s="2" t="s">
        <v>69</v>
      </c>
      <c r="F11" s="2">
        <v>34</v>
      </c>
      <c r="G11" s="2" t="s">
        <v>70</v>
      </c>
      <c r="H11" s="2" t="s">
        <v>71</v>
      </c>
      <c r="I11" s="18">
        <v>26973</v>
      </c>
      <c r="J11" s="2">
        <v>3</v>
      </c>
      <c r="K11" t="str">
        <f>_xlfn.IFNA(VLOOKUP(TRIM(E11),Doctor_Directory!$A$2:$D$31,2,FALSE),"No name")</f>
        <v>Dr. Yusuf Usman</v>
      </c>
      <c r="L11" t="str">
        <f>VLOOKUP(TRIM(D11),[1]Hospital_Details!$A$2:$D$16,2,FALSE)</f>
        <v>MC-PHC-01</v>
      </c>
      <c r="M11" t="str">
        <f>VLOOKUP(I11,Bill_Tier_Reference!$A$2:$B$5,2,TRUE)</f>
        <v>Tier 2 - Standard</v>
      </c>
      <c r="N11" t="str">
        <f>VLOOKUP(F11,Age_Bracket_Reference!$A$2:$B$6,2,TRUE)</f>
        <v>Young Adult</v>
      </c>
      <c r="O11" t="str">
        <f>VLOOKUP(C11,State_Coordinator!$A$2:$B$6,2,FALSE)</f>
        <v>Ebiere Amadi</v>
      </c>
      <c r="P11" t="str">
        <f>VLOOKUP(L11,[2]Hospital_Details!$B$2:$D$16,3,FALSE)</f>
        <v>Bronze</v>
      </c>
      <c r="Q11" t="str" cm="1">
        <f t="array" ref="Q11">_xlfn.IFS(ISNUMBER(SEARCH("TB", G11)),Protocol_Reference!$B$2, ISNUMBER(SEARCH("Malaria",G11)),Protocol_Reference!$B$3, ISNUMBER(SEARCH("Typhoid",G11)),Protocol_Reference!$B$4, ISNUMBER(SEARCH("Hypertension", G11,)),Protocol_Reference!$B$5, ISNUMBER(SEARCH("Diabetes", G11)),Protocol_Reference!$B$6, ISNUMBER(SEARCH("Cholera", G11)),Protocol_Reference!$B$7, ISNUMBER(SEARCH("Pneumonia", G11)),Protocol_Reference!$B$8, TRUE, "Out of scope/ Routine Care")</f>
        <v>Amoxicillin-Clavulanate 625mg three times daily for 7 days</v>
      </c>
      <c r="R11" s="16">
        <f>IFERROR(VLOOKUP(E11,Doctor_Directory!$A$2:$D$31,4,FALSE),"Check Doctor Code")</f>
        <v>9000</v>
      </c>
      <c r="S11" s="6" cm="1">
        <f t="array" ref="S11">_xlfn.XLOOKUP(C11,Insurance_Reimbursement_Matrix!$A$2:$A$6,_xlfn.XLOOKUP(_xlfn.XLOOKUP(F11,Age_Bracket_Reference!$A$2:$A$6,Age_Bracket_Reference!$B$2:$B$6,,-1),Insurance_Reimbursement_Matrix!$B$1:$F$1,Insurance_Reimbursement_Matrix!$B$2:$F$6))</f>
        <v>0.69</v>
      </c>
    </row>
    <row r="12" spans="1:19" x14ac:dyDescent="0.25">
      <c r="A12" s="2" t="s">
        <v>72</v>
      </c>
      <c r="B12" s="2" t="s">
        <v>73</v>
      </c>
      <c r="C12" s="2" t="s">
        <v>37</v>
      </c>
      <c r="D12" s="2" t="s">
        <v>38</v>
      </c>
      <c r="E12" s="2" t="s">
        <v>74</v>
      </c>
      <c r="F12" s="2">
        <v>1</v>
      </c>
      <c r="G12" s="2" t="s">
        <v>75</v>
      </c>
      <c r="H12" s="2" t="s">
        <v>76</v>
      </c>
      <c r="I12" s="18">
        <v>89662</v>
      </c>
      <c r="J12" s="2">
        <v>4</v>
      </c>
      <c r="K12" t="str">
        <f>_xlfn.IFNA(VLOOKUP(TRIM(E12),Doctor_Directory!$A$2:$D$31,2,FALSE),"No name")</f>
        <v>Dr. Oluwaseun Okoye</v>
      </c>
      <c r="L12" t="str">
        <f>VLOOKUP(TRIM(D12),[1]Hospital_Details!$A$2:$D$16,2,FALSE)</f>
        <v>MC-ENU-03</v>
      </c>
      <c r="M12" t="str">
        <f>VLOOKUP(I12,Bill_Tier_Reference!$A$2:$B$5,2,TRUE)</f>
        <v>Tier 3 - Premium</v>
      </c>
      <c r="N12" t="str">
        <f>VLOOKUP(F12,Age_Bracket_Reference!$A$2:$B$6,2,TRUE)</f>
        <v>Child</v>
      </c>
      <c r="O12" t="str">
        <f>VLOOKUP(C12,State_Coordinator!$A$2:$B$6,2,FALSE)</f>
        <v>Chidiebere Okoro</v>
      </c>
      <c r="P12" t="str">
        <f>VLOOKUP(L12,[2]Hospital_Details!$B$2:$D$16,3,FALSE)</f>
        <v>Gold</v>
      </c>
      <c r="Q12" t="str" cm="1">
        <f t="array" ref="Q12">_xlfn.IFS(ISNUMBER(SEARCH("TB", G12)),Protocol_Reference!$B$2, ISNUMBER(SEARCH("Malaria",G12)),Protocol_Reference!$B$3, ISNUMBER(SEARCH("Typhoid",G12)),Protocol_Reference!$B$4, ISNUMBER(SEARCH("Hypertension", G12,)),Protocol_Reference!$B$5, ISNUMBER(SEARCH("Diabetes", G12)),Protocol_Reference!$B$6, ISNUMBER(SEARCH("Cholera", G12)),Protocol_Reference!$B$7, ISNUMBER(SEARCH("Pneumonia", G12)),Protocol_Reference!$B$8, TRUE, "Out of scope/ Routine Care")</f>
        <v>Directly Observed Treatment Short-course (DOTS) - 6 month regimen</v>
      </c>
      <c r="R12" s="16">
        <f>IFERROR(VLOOKUP(E12,Doctor_Directory!$A$2:$D$31,4,FALSE),"Check Doctor Code")</f>
        <v>8500</v>
      </c>
      <c r="S12" s="6" cm="1">
        <f t="array" ref="S12">_xlfn.XLOOKUP(C12,Insurance_Reimbursement_Matrix!$A$2:$A$6,_xlfn.XLOOKUP(_xlfn.XLOOKUP(F12,Age_Bracket_Reference!$A$2:$A$6,Age_Bracket_Reference!$B$2:$B$6,,-1),Insurance_Reimbursement_Matrix!$B$1:$F$1,Insurance_Reimbursement_Matrix!$B$2:$F$6))</f>
        <v>0.9</v>
      </c>
    </row>
    <row r="13" spans="1:19" x14ac:dyDescent="0.25">
      <c r="A13" s="2" t="s">
        <v>77</v>
      </c>
      <c r="B13" s="2" t="s">
        <v>78</v>
      </c>
      <c r="C13" s="2" t="s">
        <v>37</v>
      </c>
      <c r="D13" s="2" t="s">
        <v>79</v>
      </c>
      <c r="E13" s="2" t="s">
        <v>80</v>
      </c>
      <c r="F13" s="2">
        <v>63</v>
      </c>
      <c r="G13" s="2" t="s">
        <v>81</v>
      </c>
      <c r="H13" s="2" t="s">
        <v>82</v>
      </c>
      <c r="I13" s="18">
        <v>28414</v>
      </c>
      <c r="J13" s="2">
        <v>5</v>
      </c>
      <c r="K13" t="str">
        <f>_xlfn.IFNA(VLOOKUP(TRIM(E13),Doctor_Directory!$A$2:$D$31,2,FALSE),"No name")</f>
        <v>Dr. Folake Bamidele</v>
      </c>
      <c r="L13" t="str">
        <f>VLOOKUP(TRIM(D13),[1]Hospital_Details!$A$2:$D$16,2,FALSE)</f>
        <v>MC-ENU-01</v>
      </c>
      <c r="M13" t="str">
        <f>VLOOKUP(I13,Bill_Tier_Reference!$A$2:$B$5,2,TRUE)</f>
        <v>Tier 2 - Standard</v>
      </c>
      <c r="N13" t="str">
        <f>VLOOKUP(F13,Age_Bracket_Reference!$A$2:$B$6,2,TRUE)</f>
        <v>Senior</v>
      </c>
      <c r="O13" t="str">
        <f>VLOOKUP(C13,State_Coordinator!$A$2:$B$6,2,FALSE)</f>
        <v>Chidiebere Okoro</v>
      </c>
      <c r="P13" t="str">
        <f>VLOOKUP(L13,[2]Hospital_Details!$B$2:$D$16,3,FALSE)</f>
        <v>Gold</v>
      </c>
      <c r="Q13" t="str" cm="1">
        <f t="array" ref="Q13">_xlfn.IFS(ISNUMBER(SEARCH("TB", G13)),Protocol_Reference!$B$2, ISNUMBER(SEARCH("Malaria",G13)),Protocol_Reference!$B$3, ISNUMBER(SEARCH("Typhoid",G13)),Protocol_Reference!$B$4, ISNUMBER(SEARCH("Hypertension", G13,)),Protocol_Reference!$B$5, ISNUMBER(SEARCH("Diabetes", G13)),Protocol_Reference!$B$6, ISNUMBER(SEARCH("Cholera", G13)),Protocol_Reference!$B$7, ISNUMBER(SEARCH("Pneumonia", G13)),Protocol_Reference!$B$8, TRUE, "Out of scope/ Routine Care")</f>
        <v>Directly Observed Treatment Short-course (DOTS) - 6 month regimen</v>
      </c>
      <c r="R13" s="16">
        <f>IFERROR(VLOOKUP(E13,Doctor_Directory!$A$2:$D$31,4,FALSE),"Check Doctor Code")</f>
        <v>5000</v>
      </c>
      <c r="S13" s="6" cm="1">
        <f t="array" ref="S13">_xlfn.XLOOKUP(C13,Insurance_Reimbursement_Matrix!$A$2:$A$6,_xlfn.XLOOKUP(_xlfn.XLOOKUP(F13,Age_Bracket_Reference!$A$2:$A$6,Age_Bracket_Reference!$B$2:$B$6,,-1),Insurance_Reimbursement_Matrix!$B$1:$F$1,Insurance_Reimbursement_Matrix!$B$2:$F$6))</f>
        <v>0.76</v>
      </c>
    </row>
    <row r="14" spans="1:19" x14ac:dyDescent="0.25">
      <c r="A14" s="2" t="s">
        <v>83</v>
      </c>
      <c r="B14" s="2" t="s">
        <v>84</v>
      </c>
      <c r="C14" s="2" t="s">
        <v>12</v>
      </c>
      <c r="D14" s="2" t="s">
        <v>13</v>
      </c>
      <c r="E14" s="2" t="s">
        <v>74</v>
      </c>
      <c r="F14" s="2">
        <v>70</v>
      </c>
      <c r="G14" s="2" t="s">
        <v>85</v>
      </c>
      <c r="H14" s="2" t="s">
        <v>86</v>
      </c>
      <c r="I14" s="18">
        <v>115857</v>
      </c>
      <c r="J14" s="2">
        <v>8</v>
      </c>
      <c r="K14" t="str">
        <f>_xlfn.IFNA(VLOOKUP(TRIM(E14),Doctor_Directory!$A$2:$D$31,2,FALSE),"No name")</f>
        <v>Dr. Oluwaseun Okoye</v>
      </c>
      <c r="L14" t="str">
        <f>VLOOKUP(TRIM(D14),[1]Hospital_Details!$A$2:$D$16,2,FALSE)</f>
        <v>MC-PHC-01</v>
      </c>
      <c r="M14" t="str">
        <f>VLOOKUP(I14,Bill_Tier_Reference!$A$2:$B$5,2,TRUE)</f>
        <v>Tier 3 - Premium</v>
      </c>
      <c r="N14" t="str">
        <f>VLOOKUP(F14,Age_Bracket_Reference!$A$2:$B$6,2,TRUE)</f>
        <v>Senior</v>
      </c>
      <c r="O14" t="str">
        <f>VLOOKUP(C14,State_Coordinator!$A$2:$B$6,2,FALSE)</f>
        <v>Ebiere Amadi</v>
      </c>
      <c r="P14" t="str">
        <f>VLOOKUP(L14,[2]Hospital_Details!$B$2:$D$16,3,FALSE)</f>
        <v>Bronze</v>
      </c>
      <c r="Q14" t="str" cm="1">
        <f t="array" ref="Q14">_xlfn.IFS(ISNUMBER(SEARCH("TB", G14)),Protocol_Reference!$B$2, ISNUMBER(SEARCH("Malaria",G14)),Protocol_Reference!$B$3, ISNUMBER(SEARCH("Typhoid",G14)),Protocol_Reference!$B$4, ISNUMBER(SEARCH("Hypertension", G14,)),Protocol_Reference!$B$5, ISNUMBER(SEARCH("Diabetes", G14)),Protocol_Reference!$B$6, ISNUMBER(SEARCH("Cholera", G14)),Protocol_Reference!$B$7, ISNUMBER(SEARCH("Pneumonia", G14)),Protocol_Reference!$B$8, TRUE, "Out of scope/ Routine Care")</f>
        <v>Artemisinin-based Combination Therapy (ACT) - 3-day course</v>
      </c>
      <c r="R14" s="16">
        <f>IFERROR(VLOOKUP(E14,Doctor_Directory!$A$2:$D$31,4,FALSE),"Check Doctor Code")</f>
        <v>8500</v>
      </c>
      <c r="S14" s="6" cm="1">
        <f t="array" ref="S14">_xlfn.XLOOKUP(C14,Insurance_Reimbursement_Matrix!$A$2:$A$6,_xlfn.XLOOKUP(_xlfn.XLOOKUP(F14,Age_Bracket_Reference!$A$2:$A$6,Age_Bracket_Reference!$B$2:$B$6,,-1),Insurance_Reimbursement_Matrix!$B$1:$F$1,Insurance_Reimbursement_Matrix!$B$2:$F$6))</f>
        <v>0.79</v>
      </c>
    </row>
    <row r="15" spans="1:19" x14ac:dyDescent="0.25">
      <c r="A15" s="2" t="s">
        <v>87</v>
      </c>
      <c r="B15" s="2" t="s">
        <v>88</v>
      </c>
      <c r="C15" s="2" t="s">
        <v>19</v>
      </c>
      <c r="D15" s="2" t="s">
        <v>20</v>
      </c>
      <c r="E15" s="2" t="s">
        <v>39</v>
      </c>
      <c r="F15" s="2">
        <v>9</v>
      </c>
      <c r="G15" s="2" t="s">
        <v>89</v>
      </c>
      <c r="H15" s="2" t="s">
        <v>90</v>
      </c>
      <c r="I15" s="18">
        <v>10540</v>
      </c>
      <c r="J15" s="2">
        <v>12</v>
      </c>
      <c r="K15" t="str">
        <f>_xlfn.IFNA(VLOOKUP(TRIM(E15),Doctor_Directory!$A$2:$D$31,2,FALSE),"No name")</f>
        <v>Dr. Blessing Obi</v>
      </c>
      <c r="L15" t="str">
        <f>VLOOKUP(TRIM(D15),[1]Hospital_Details!$A$2:$D$16,2,FALSE)</f>
        <v>MC-LAG-01</v>
      </c>
      <c r="M15" t="str">
        <f>VLOOKUP(I15,Bill_Tier_Reference!$A$2:$B$5,2,TRUE)</f>
        <v>Tier 1 - Basic</v>
      </c>
      <c r="N15" t="str">
        <f>VLOOKUP(F15,Age_Bracket_Reference!$A$2:$B$6,2,TRUE)</f>
        <v>Child</v>
      </c>
      <c r="O15" t="str">
        <f>VLOOKUP(C15,State_Coordinator!$A$2:$B$6,2,FALSE)</f>
        <v>Funmilayo Adebayo</v>
      </c>
      <c r="P15" t="str">
        <f>VLOOKUP(L15,[2]Hospital_Details!$B$2:$D$16,3,FALSE)</f>
        <v>Platinum</v>
      </c>
      <c r="Q15" t="str" cm="1">
        <f t="array" ref="Q15">_xlfn.IFS(ISNUMBER(SEARCH("TB", G15)),Protocol_Reference!$B$2, ISNUMBER(SEARCH("Malaria",G15)),Protocol_Reference!$B$3, ISNUMBER(SEARCH("Typhoid",G15)),Protocol_Reference!$B$4, ISNUMBER(SEARCH("Hypertension", G15,)),Protocol_Reference!$B$5, ISNUMBER(SEARCH("Diabetes", G15)),Protocol_Reference!$B$6, ISNUMBER(SEARCH("Cholera", G15)),Protocol_Reference!$B$7, ISNUMBER(SEARCH("Pneumonia", G15)),Protocol_Reference!$B$8, TRUE, "Out of scope/ Routine Care")</f>
        <v>Out of scope/ Routine Care</v>
      </c>
      <c r="R15" s="16">
        <f>IFERROR(VLOOKUP(E15,Doctor_Directory!$A$2:$D$31,4,FALSE),"Check Doctor Code")</f>
        <v>3500</v>
      </c>
      <c r="S15" s="6" cm="1">
        <f t="array" ref="S15">_xlfn.XLOOKUP(C15,Insurance_Reimbursement_Matrix!$A$2:$A$6,_xlfn.XLOOKUP(_xlfn.XLOOKUP(F15,Age_Bracket_Reference!$A$2:$A$6,Age_Bracket_Reference!$B$2:$B$6,,-1),Insurance_Reimbursement_Matrix!$B$1:$F$1,Insurance_Reimbursement_Matrix!$B$2:$F$6))</f>
        <v>0.83</v>
      </c>
    </row>
    <row r="16" spans="1:19" x14ac:dyDescent="0.25">
      <c r="A16" s="2" t="s">
        <v>91</v>
      </c>
      <c r="B16" s="2" t="s">
        <v>92</v>
      </c>
      <c r="C16" s="2" t="s">
        <v>44</v>
      </c>
      <c r="D16" s="2" t="s">
        <v>45</v>
      </c>
      <c r="E16" s="2" t="s">
        <v>93</v>
      </c>
      <c r="F16" s="2">
        <v>5</v>
      </c>
      <c r="G16" s="2" t="s">
        <v>89</v>
      </c>
      <c r="H16" s="2" t="s">
        <v>94</v>
      </c>
      <c r="I16" s="18">
        <v>35597</v>
      </c>
      <c r="J16" s="2">
        <v>9</v>
      </c>
      <c r="K16" t="str">
        <f>_xlfn.IFNA(VLOOKUP(TRIM(E16),Doctor_Directory!$A$2:$D$31,2,FALSE),"No name")</f>
        <v>Dr. Ngozi Umar</v>
      </c>
      <c r="L16" t="str">
        <f>VLOOKUP(TRIM(D16),[1]Hospital_Details!$A$2:$D$16,2,FALSE)</f>
        <v>MC-ABJ-01</v>
      </c>
      <c r="M16" t="str">
        <f>VLOOKUP(I16,Bill_Tier_Reference!$A$2:$B$5,2,TRUE)</f>
        <v>Tier 2 - Standard</v>
      </c>
      <c r="N16" t="str">
        <f>VLOOKUP(F16,Age_Bracket_Reference!$A$2:$B$6,2,TRUE)</f>
        <v>Child</v>
      </c>
      <c r="O16" t="str">
        <f>VLOOKUP(C16,State_Coordinator!$A$2:$B$6,2,FALSE)</f>
        <v>Ibrahim Garba</v>
      </c>
      <c r="P16" t="str">
        <f>VLOOKUP(L16,[2]Hospital_Details!$B$2:$D$16,3,FALSE)</f>
        <v>Platinum</v>
      </c>
      <c r="Q16" t="str" cm="1">
        <f t="array" ref="Q16">_xlfn.IFS(ISNUMBER(SEARCH("TB", G16)),Protocol_Reference!$B$2, ISNUMBER(SEARCH("Malaria",G16)),Protocol_Reference!$B$3, ISNUMBER(SEARCH("Typhoid",G16)),Protocol_Reference!$B$4, ISNUMBER(SEARCH("Hypertension", G16,)),Protocol_Reference!$B$5, ISNUMBER(SEARCH("Diabetes", G16)),Protocol_Reference!$B$6, ISNUMBER(SEARCH("Cholera", G16)),Protocol_Reference!$B$7, ISNUMBER(SEARCH("Pneumonia", G16)),Protocol_Reference!$B$8, TRUE, "Out of scope/ Routine Care")</f>
        <v>Out of scope/ Routine Care</v>
      </c>
      <c r="R16" s="16">
        <f>IFERROR(VLOOKUP(E16,Doctor_Directory!$A$2:$D$31,4,FALSE),"Check Doctor Code")</f>
        <v>9000</v>
      </c>
      <c r="S16" s="6" cm="1">
        <f t="array" ref="S16">_xlfn.XLOOKUP(C16,Insurance_Reimbursement_Matrix!$A$2:$A$6,_xlfn.XLOOKUP(_xlfn.XLOOKUP(F16,Age_Bracket_Reference!$A$2:$A$6,Age_Bracket_Reference!$B$2:$B$6,,-1),Insurance_Reimbursement_Matrix!$B$1:$F$1,Insurance_Reimbursement_Matrix!$B$2:$F$6))</f>
        <v>0.84</v>
      </c>
    </row>
    <row r="17" spans="1:19" x14ac:dyDescent="0.25">
      <c r="A17" s="2" t="s">
        <v>95</v>
      </c>
      <c r="B17" s="2" t="s">
        <v>96</v>
      </c>
      <c r="C17" s="2" t="s">
        <v>37</v>
      </c>
      <c r="D17" s="2" t="s">
        <v>97</v>
      </c>
      <c r="E17" s="2" t="s">
        <v>39</v>
      </c>
      <c r="F17" s="2">
        <v>61</v>
      </c>
      <c r="G17" s="2" t="s">
        <v>98</v>
      </c>
      <c r="H17" s="2" t="s">
        <v>99</v>
      </c>
      <c r="I17" s="18">
        <v>87704</v>
      </c>
      <c r="J17" s="2">
        <v>7</v>
      </c>
      <c r="K17" t="str">
        <f>_xlfn.IFNA(VLOOKUP(TRIM(E17),Doctor_Directory!$A$2:$D$31,2,FALSE),"No name")</f>
        <v>Dr. Blessing Obi</v>
      </c>
      <c r="L17" t="str">
        <f>VLOOKUP(TRIM(D17),[1]Hospital_Details!$A$2:$D$16,2,FALSE)</f>
        <v>MC-ENU-02</v>
      </c>
      <c r="M17" t="str">
        <f>VLOOKUP(I17,Bill_Tier_Reference!$A$2:$B$5,2,TRUE)</f>
        <v>Tier 3 - Premium</v>
      </c>
      <c r="N17" t="str">
        <f>VLOOKUP(F17,Age_Bracket_Reference!$A$2:$B$6,2,TRUE)</f>
        <v>Senior</v>
      </c>
      <c r="O17" t="str">
        <f>VLOOKUP(C17,State_Coordinator!$A$2:$B$6,2,FALSE)</f>
        <v>Chidiebere Okoro</v>
      </c>
      <c r="P17" t="str">
        <f>VLOOKUP(L17,[2]Hospital_Details!$B$2:$D$16,3,FALSE)</f>
        <v>Bronze</v>
      </c>
      <c r="Q17" t="str" cm="1">
        <f t="array" ref="Q17">_xlfn.IFS(ISNUMBER(SEARCH("TB", G17)),Protocol_Reference!$B$2, ISNUMBER(SEARCH("Malaria",G17)),Protocol_Reference!$B$3, ISNUMBER(SEARCH("Typhoid",G17)),Protocol_Reference!$B$4, ISNUMBER(SEARCH("Hypertension", G17,)),Protocol_Reference!$B$5, ISNUMBER(SEARCH("Diabetes", G17)),Protocol_Reference!$B$6, ISNUMBER(SEARCH("Cholera", G17)),Protocol_Reference!$B$7, ISNUMBER(SEARCH("Pneumonia", G17)),Protocol_Reference!$B$8, TRUE, "Out of scope/ Routine Care")</f>
        <v>Directly Observed Treatment Short-course (DOTS) - 6 month regimen</v>
      </c>
      <c r="R17" s="16">
        <f>IFERROR(VLOOKUP(E17,Doctor_Directory!$A$2:$D$31,4,FALSE),"Check Doctor Code")</f>
        <v>3500</v>
      </c>
      <c r="S17" s="6" cm="1">
        <f t="array" ref="S17">_xlfn.XLOOKUP(C17,Insurance_Reimbursement_Matrix!$A$2:$A$6,_xlfn.XLOOKUP(_xlfn.XLOOKUP(F17,Age_Bracket_Reference!$A$2:$A$6,Age_Bracket_Reference!$B$2:$B$6,,-1),Insurance_Reimbursement_Matrix!$B$1:$F$1,Insurance_Reimbursement_Matrix!$B$2:$F$6))</f>
        <v>0.76</v>
      </c>
    </row>
    <row r="18" spans="1:19" x14ac:dyDescent="0.25">
      <c r="A18" s="2" t="s">
        <v>100</v>
      </c>
      <c r="B18" s="2" t="s">
        <v>101</v>
      </c>
      <c r="C18" s="2" t="s">
        <v>19</v>
      </c>
      <c r="D18" s="2" t="s">
        <v>102</v>
      </c>
      <c r="E18" s="2" t="s">
        <v>103</v>
      </c>
      <c r="F18" s="2">
        <v>83</v>
      </c>
      <c r="G18" s="2" t="s">
        <v>59</v>
      </c>
      <c r="H18" s="2" t="s">
        <v>104</v>
      </c>
      <c r="I18" s="18">
        <v>67724</v>
      </c>
      <c r="J18" s="2">
        <v>4</v>
      </c>
      <c r="K18" t="str">
        <f>_xlfn.IFNA(VLOOKUP(TRIM(E18),Doctor_Directory!$A$2:$D$31,2,FALSE),"No name")</f>
        <v>Dr. Segun Ogundele</v>
      </c>
      <c r="L18" t="str">
        <f>VLOOKUP(TRIM(D18),[1]Hospital_Details!$A$2:$D$16,2,FALSE)</f>
        <v>MC-LAG-03</v>
      </c>
      <c r="M18" t="str">
        <f>VLOOKUP(I18,Bill_Tier_Reference!$A$2:$B$5,2,TRUE)</f>
        <v>Tier 2 - Standard</v>
      </c>
      <c r="N18" t="str">
        <f>VLOOKUP(F18,Age_Bracket_Reference!$A$2:$B$6,2,TRUE)</f>
        <v>Senior</v>
      </c>
      <c r="O18" t="str">
        <f>VLOOKUP(C18,State_Coordinator!$A$2:$B$6,2,FALSE)</f>
        <v>Funmilayo Adebayo</v>
      </c>
      <c r="P18" t="str">
        <f>VLOOKUP(L18,[2]Hospital_Details!$B$2:$D$16,3,FALSE)</f>
        <v>Bronze</v>
      </c>
      <c r="Q18" t="str" cm="1">
        <f t="array" ref="Q18">_xlfn.IFS(ISNUMBER(SEARCH("TB", G18)),Protocol_Reference!$B$2, ISNUMBER(SEARCH("Malaria",G18)),Protocol_Reference!$B$3, ISNUMBER(SEARCH("Typhoid",G18)),Protocol_Reference!$B$4, ISNUMBER(SEARCH("Hypertension", G18,)),Protocol_Reference!$B$5, ISNUMBER(SEARCH("Diabetes", G18)),Protocol_Reference!$B$6, ISNUMBER(SEARCH("Cholera", G18)),Protocol_Reference!$B$7, ISNUMBER(SEARCH("Pneumonia", G18)),Protocol_Reference!$B$8, TRUE, "Out of scope/ Routine Care")</f>
        <v>Directly Observed Treatment Short-course (DOTS) - 6 month regimen</v>
      </c>
      <c r="R18" s="16">
        <f>IFERROR(VLOOKUP(E18,Doctor_Directory!$A$2:$D$31,4,FALSE),"Check Doctor Code")</f>
        <v>5000</v>
      </c>
      <c r="S18" s="6" cm="1">
        <f t="array" ref="S18">_xlfn.XLOOKUP(C18,Insurance_Reimbursement_Matrix!$A$2:$A$6,_xlfn.XLOOKUP(_xlfn.XLOOKUP(F18,Age_Bracket_Reference!$A$2:$A$6,Age_Bracket_Reference!$B$2:$B$6,,-1),Insurance_Reimbursement_Matrix!$B$1:$F$1,Insurance_Reimbursement_Matrix!$B$2:$F$6))</f>
        <v>0.8</v>
      </c>
    </row>
    <row r="19" spans="1:19" x14ac:dyDescent="0.25">
      <c r="A19" s="2" t="s">
        <v>105</v>
      </c>
      <c r="B19" s="2" t="s">
        <v>11</v>
      </c>
      <c r="C19" s="2" t="s">
        <v>12</v>
      </c>
      <c r="D19" s="2" t="s">
        <v>13</v>
      </c>
      <c r="E19" s="2" t="s">
        <v>106</v>
      </c>
      <c r="F19" s="2">
        <v>24</v>
      </c>
      <c r="G19" s="2" t="s">
        <v>15</v>
      </c>
      <c r="H19" s="2" t="s">
        <v>107</v>
      </c>
      <c r="I19" s="18">
        <v>11185</v>
      </c>
      <c r="J19" s="2">
        <v>11</v>
      </c>
      <c r="K19" t="str">
        <f>_xlfn.IFNA(VLOOKUP(TRIM(E19),Doctor_Directory!$A$2:$D$31,2,FALSE),"No name")</f>
        <v>Dr. Oluwaseun Fashola</v>
      </c>
      <c r="L19" t="str">
        <f>VLOOKUP(TRIM(D19),[1]Hospital_Details!$A$2:$D$16,2,FALSE)</f>
        <v>MC-PHC-01</v>
      </c>
      <c r="M19" t="str">
        <f>VLOOKUP(I19,Bill_Tier_Reference!$A$2:$B$5,2,TRUE)</f>
        <v>Tier 1 - Basic</v>
      </c>
      <c r="N19" t="str">
        <f>VLOOKUP(F19,Age_Bracket_Reference!$A$2:$B$6,2,TRUE)</f>
        <v>Young Adult</v>
      </c>
      <c r="O19" t="str">
        <f>VLOOKUP(C19,State_Coordinator!$A$2:$B$6,2,FALSE)</f>
        <v>Ebiere Amadi</v>
      </c>
      <c r="P19" t="str">
        <f>VLOOKUP(L19,[2]Hospital_Details!$B$2:$D$16,3,FALSE)</f>
        <v>Bronze</v>
      </c>
      <c r="Q19" t="str" cm="1">
        <f t="array" ref="Q19">_xlfn.IFS(ISNUMBER(SEARCH("TB", G19)),Protocol_Reference!$B$2, ISNUMBER(SEARCH("Malaria",G19)),Protocol_Reference!$B$3, ISNUMBER(SEARCH("Typhoid",G19)),Protocol_Reference!$B$4, ISNUMBER(SEARCH("Hypertension", G19,)),Protocol_Reference!$B$5, ISNUMBER(SEARCH("Diabetes", G19)),Protocol_Reference!$B$6, ISNUMBER(SEARCH("Cholera", G19)),Protocol_Reference!$B$7, ISNUMBER(SEARCH("Pneumonia", G19)),Protocol_Reference!$B$8, TRUE, "Out of scope/ Routine Care")</f>
        <v>Ciprofloxacin 500mg twice daily for 7-10 days</v>
      </c>
      <c r="R19" s="16">
        <f>IFERROR(VLOOKUP(E19,Doctor_Directory!$A$2:$D$31,4,FALSE),"Check Doctor Code")</f>
        <v>6000</v>
      </c>
      <c r="S19" s="6" cm="1">
        <f t="array" ref="S19">_xlfn.XLOOKUP(C19,Insurance_Reimbursement_Matrix!$A$2:$A$6,_xlfn.XLOOKUP(_xlfn.XLOOKUP(F19,Age_Bracket_Reference!$A$2:$A$6,Age_Bracket_Reference!$B$2:$B$6,,-1),Insurance_Reimbursement_Matrix!$B$1:$F$1,Insurance_Reimbursement_Matrix!$B$2:$F$6))</f>
        <v>0.69</v>
      </c>
    </row>
    <row r="20" spans="1:19" x14ac:dyDescent="0.25">
      <c r="A20" s="2" t="s">
        <v>108</v>
      </c>
      <c r="B20" s="2" t="s">
        <v>109</v>
      </c>
      <c r="C20" s="2" t="s">
        <v>19</v>
      </c>
      <c r="D20" s="2" t="s">
        <v>20</v>
      </c>
      <c r="E20" s="2" t="s">
        <v>110</v>
      </c>
      <c r="F20" s="2">
        <v>53</v>
      </c>
      <c r="G20" s="2" t="s">
        <v>111</v>
      </c>
      <c r="H20" s="2" t="s">
        <v>112</v>
      </c>
      <c r="I20" s="18">
        <v>46282</v>
      </c>
      <c r="J20" s="2">
        <v>7</v>
      </c>
      <c r="K20" t="str">
        <f>_xlfn.IFNA(VLOOKUP(TRIM(E20),Doctor_Directory!$A$2:$D$31,2,FALSE),"No name")</f>
        <v>Dr. Uche Ogunleye</v>
      </c>
      <c r="L20" t="str">
        <f>VLOOKUP(TRIM(D20),[1]Hospital_Details!$A$2:$D$16,2,FALSE)</f>
        <v>MC-LAG-01</v>
      </c>
      <c r="M20" t="str">
        <f>VLOOKUP(I20,Bill_Tier_Reference!$A$2:$B$5,2,TRUE)</f>
        <v>Tier 2 - Standard</v>
      </c>
      <c r="N20" t="str">
        <f>VLOOKUP(F20,Age_Bracket_Reference!$A$2:$B$6,2,TRUE)</f>
        <v>Adult</v>
      </c>
      <c r="O20" t="str">
        <f>VLOOKUP(C20,State_Coordinator!$A$2:$B$6,2,FALSE)</f>
        <v>Funmilayo Adebayo</v>
      </c>
      <c r="P20" t="str">
        <f>VLOOKUP(L20,[2]Hospital_Details!$B$2:$D$16,3,FALSE)</f>
        <v>Platinum</v>
      </c>
      <c r="Q20" t="str" cm="1">
        <f t="array" ref="Q20">_xlfn.IFS(ISNUMBER(SEARCH("TB", G20)),Protocol_Reference!$B$2, ISNUMBER(SEARCH("Malaria",G20)),Protocol_Reference!$B$3, ISNUMBER(SEARCH("Typhoid",G20)),Protocol_Reference!$B$4, ISNUMBER(SEARCH("Hypertension", G20,)),Protocol_Reference!$B$5, ISNUMBER(SEARCH("Diabetes", G20)),Protocol_Reference!$B$6, ISNUMBER(SEARCH("Cholera", G20)),Protocol_Reference!$B$7, ISNUMBER(SEARCH("Pneumonia", G20)),Protocol_Reference!$B$8, TRUE, "Out of scope/ Routine Care")</f>
        <v>Oral Rehydration Therapy + Doxycycline</v>
      </c>
      <c r="R20" s="16">
        <f>IFERROR(VLOOKUP(E20,Doctor_Directory!$A$2:$D$31,4,FALSE),"Check Doctor Code")</f>
        <v>6000</v>
      </c>
      <c r="S20" s="6" cm="1">
        <f t="array" ref="S20">_xlfn.XLOOKUP(C20,Insurance_Reimbursement_Matrix!$A$2:$A$6,_xlfn.XLOOKUP(_xlfn.XLOOKUP(F20,Age_Bracket_Reference!$A$2:$A$6,Age_Bracket_Reference!$B$2:$B$6,,-1),Insurance_Reimbursement_Matrix!$B$1:$F$1,Insurance_Reimbursement_Matrix!$B$2:$F$6))</f>
        <v>0.66</v>
      </c>
    </row>
    <row r="21" spans="1:19" x14ac:dyDescent="0.25">
      <c r="A21" s="2" t="s">
        <v>113</v>
      </c>
      <c r="B21" s="2" t="s">
        <v>114</v>
      </c>
      <c r="C21" s="2" t="s">
        <v>26</v>
      </c>
      <c r="D21" s="2" t="s">
        <v>115</v>
      </c>
      <c r="E21" s="2" t="s">
        <v>116</v>
      </c>
      <c r="F21" s="2">
        <v>55</v>
      </c>
      <c r="G21" s="2" t="s">
        <v>117</v>
      </c>
      <c r="H21" s="2" t="s">
        <v>54</v>
      </c>
      <c r="I21" s="18">
        <v>30144</v>
      </c>
      <c r="J21" s="2">
        <v>1</v>
      </c>
      <c r="K21" t="str">
        <f>_xlfn.IFNA(VLOOKUP(TRIM(E21),Doctor_Directory!$A$2:$D$31,2,FALSE),"No name")</f>
        <v>Dr. Tunde Usman</v>
      </c>
      <c r="L21" t="str">
        <f>VLOOKUP(TRIM(D21),[1]Hospital_Details!$A$2:$D$16,2,FALSE)</f>
        <v>MC-KAN-02</v>
      </c>
      <c r="M21" t="str">
        <f>VLOOKUP(I21,Bill_Tier_Reference!$A$2:$B$5,2,TRUE)</f>
        <v>Tier 2 - Standard</v>
      </c>
      <c r="N21" t="str">
        <f>VLOOKUP(F21,Age_Bracket_Reference!$A$2:$B$6,2,TRUE)</f>
        <v>Adult</v>
      </c>
      <c r="O21" t="str">
        <f>VLOOKUP(C21,State_Coordinator!$A$2:$B$6,2,FALSE)</f>
        <v>Hauwa Mustapha</v>
      </c>
      <c r="P21" t="str">
        <f>VLOOKUP(L21,[2]Hospital_Details!$B$2:$D$16,3,FALSE)</f>
        <v>Bronze</v>
      </c>
      <c r="Q21" t="str" cm="1">
        <f t="array" ref="Q21">_xlfn.IFS(ISNUMBER(SEARCH("TB", G21)),Protocol_Reference!$B$2, ISNUMBER(SEARCH("Malaria",G21)),Protocol_Reference!$B$3, ISNUMBER(SEARCH("Typhoid",G21)),Protocol_Reference!$B$4, ISNUMBER(SEARCH("Hypertension", G21,)),Protocol_Reference!$B$5, ISNUMBER(SEARCH("Diabetes", G21)),Protocol_Reference!$B$6, ISNUMBER(SEARCH("Cholera", G21)),Protocol_Reference!$B$7, ISNUMBER(SEARCH("Pneumonia", G21)),Protocol_Reference!$B$8, TRUE, "Out of scope/ Routine Care")</f>
        <v>Out of scope/ Routine Care</v>
      </c>
      <c r="R21" s="16">
        <f>IFERROR(VLOOKUP(E21,Doctor_Directory!$A$2:$D$31,4,FALSE),"Check Doctor Code")</f>
        <v>10000</v>
      </c>
      <c r="S21" s="6" cm="1">
        <f t="array" ref="S21">_xlfn.XLOOKUP(C21,Insurance_Reimbursement_Matrix!$A$2:$A$6,_xlfn.XLOOKUP(_xlfn.XLOOKUP(F21,Age_Bracket_Reference!$A$2:$A$6,Age_Bracket_Reference!$B$2:$B$6,,-1),Insurance_Reimbursement_Matrix!$B$1:$F$1,Insurance_Reimbursement_Matrix!$B$2:$F$6))</f>
        <v>0.73</v>
      </c>
    </row>
    <row r="22" spans="1:19" x14ac:dyDescent="0.25">
      <c r="A22" s="2" t="s">
        <v>118</v>
      </c>
      <c r="B22" s="2" t="s">
        <v>119</v>
      </c>
      <c r="C22" s="2" t="s">
        <v>19</v>
      </c>
      <c r="D22" s="2" t="s">
        <v>102</v>
      </c>
      <c r="E22" s="2" t="s">
        <v>120</v>
      </c>
      <c r="F22" s="2">
        <v>8</v>
      </c>
      <c r="G22" s="2" t="s">
        <v>121</v>
      </c>
      <c r="H22" s="2" t="s">
        <v>122</v>
      </c>
      <c r="I22" s="18">
        <v>52954</v>
      </c>
      <c r="J22" s="2">
        <v>1</v>
      </c>
      <c r="K22" t="str">
        <f>_xlfn.IFNA(VLOOKUP(TRIM(E22),Doctor_Directory!$A$2:$D$31,2,FALSE),"No name")</f>
        <v>Dr. Adaugo Fashola</v>
      </c>
      <c r="L22" t="str">
        <f>VLOOKUP(TRIM(D22),[1]Hospital_Details!$A$2:$D$16,2,FALSE)</f>
        <v>MC-LAG-03</v>
      </c>
      <c r="M22" t="str">
        <f>VLOOKUP(I22,Bill_Tier_Reference!$A$2:$B$5,2,TRUE)</f>
        <v>Tier 2 - Standard</v>
      </c>
      <c r="N22" t="str">
        <f>VLOOKUP(F22,Age_Bracket_Reference!$A$2:$B$6,2,TRUE)</f>
        <v>Child</v>
      </c>
      <c r="O22" t="str">
        <f>VLOOKUP(C22,State_Coordinator!$A$2:$B$6,2,FALSE)</f>
        <v>Funmilayo Adebayo</v>
      </c>
      <c r="P22" t="str">
        <f>VLOOKUP(L22,[2]Hospital_Details!$B$2:$D$16,3,FALSE)</f>
        <v>Bronze</v>
      </c>
      <c r="Q22" t="str" cm="1">
        <f t="array" ref="Q22">_xlfn.IFS(ISNUMBER(SEARCH("TB", G22)),Protocol_Reference!$B$2, ISNUMBER(SEARCH("Malaria",G22)),Protocol_Reference!$B$3, ISNUMBER(SEARCH("Typhoid",G22)),Protocol_Reference!$B$4, ISNUMBER(SEARCH("Hypertension", G22,)),Protocol_Reference!$B$5, ISNUMBER(SEARCH("Diabetes", G22)),Protocol_Reference!$B$6, ISNUMBER(SEARCH("Cholera", G22)),Protocol_Reference!$B$7, ISNUMBER(SEARCH("Pneumonia", G22)),Protocol_Reference!$B$8, TRUE, "Out of scope/ Routine Care")</f>
        <v>Directly Observed Treatment Short-course (DOTS) - 6 month regimen</v>
      </c>
      <c r="R22" s="16">
        <f>IFERROR(VLOOKUP(E22,Doctor_Directory!$A$2:$D$31,4,FALSE),"Check Doctor Code")</f>
        <v>4000</v>
      </c>
      <c r="S22" s="6" cm="1">
        <f t="array" ref="S22">_xlfn.XLOOKUP(C22,Insurance_Reimbursement_Matrix!$A$2:$A$6,_xlfn.XLOOKUP(_xlfn.XLOOKUP(F22,Age_Bracket_Reference!$A$2:$A$6,Age_Bracket_Reference!$B$2:$B$6,,-1),Insurance_Reimbursement_Matrix!$B$1:$F$1,Insurance_Reimbursement_Matrix!$B$2:$F$6))</f>
        <v>0.83</v>
      </c>
    </row>
    <row r="23" spans="1:19" x14ac:dyDescent="0.25">
      <c r="A23" s="2" t="s">
        <v>123</v>
      </c>
      <c r="B23" s="2" t="s">
        <v>124</v>
      </c>
      <c r="C23" s="2" t="s">
        <v>44</v>
      </c>
      <c r="D23" s="2" t="s">
        <v>45</v>
      </c>
      <c r="E23" s="2" t="s">
        <v>28</v>
      </c>
      <c r="F23" s="2">
        <v>9</v>
      </c>
      <c r="G23" s="2" t="s">
        <v>65</v>
      </c>
      <c r="H23" s="2" t="s">
        <v>125</v>
      </c>
      <c r="I23" s="18">
        <v>16230</v>
      </c>
      <c r="J23" s="2">
        <v>10</v>
      </c>
      <c r="K23" t="str">
        <f>_xlfn.IFNA(VLOOKUP(TRIM(E23),Doctor_Directory!$A$2:$D$31,2,FALSE),"No name")</f>
        <v>Dr. Ronke Nnaji</v>
      </c>
      <c r="L23" t="str">
        <f>VLOOKUP(TRIM(D23),[1]Hospital_Details!$A$2:$D$16,2,FALSE)</f>
        <v>MC-ABJ-01</v>
      </c>
      <c r="M23" t="str">
        <f>VLOOKUP(I23,Bill_Tier_Reference!$A$2:$B$5,2,TRUE)</f>
        <v>Tier 1 - Basic</v>
      </c>
      <c r="N23" t="str">
        <f>VLOOKUP(F23,Age_Bracket_Reference!$A$2:$B$6,2,TRUE)</f>
        <v>Child</v>
      </c>
      <c r="O23" t="str">
        <f>VLOOKUP(C23,State_Coordinator!$A$2:$B$6,2,FALSE)</f>
        <v>Ibrahim Garba</v>
      </c>
      <c r="P23" t="str">
        <f>VLOOKUP(L23,[2]Hospital_Details!$B$2:$D$16,3,FALSE)</f>
        <v>Platinum</v>
      </c>
      <c r="Q23" t="str" cm="1">
        <f t="array" ref="Q23">_xlfn.IFS(ISNUMBER(SEARCH("TB", G23)),Protocol_Reference!$B$2, ISNUMBER(SEARCH("Malaria",G23)),Protocol_Reference!$B$3, ISNUMBER(SEARCH("Typhoid",G23)),Protocol_Reference!$B$4, ISNUMBER(SEARCH("Hypertension", G23,)),Protocol_Reference!$B$5, ISNUMBER(SEARCH("Diabetes", G23)),Protocol_Reference!$B$6, ISNUMBER(SEARCH("Cholera", G23)),Protocol_Reference!$B$7, ISNUMBER(SEARCH("Pneumonia", G23)),Protocol_Reference!$B$8, TRUE, "Out of scope/ Routine Care")</f>
        <v>Out of scope/ Routine Care</v>
      </c>
      <c r="R23" s="16">
        <f>IFERROR(VLOOKUP(E23,Doctor_Directory!$A$2:$D$31,4,FALSE),"Check Doctor Code")</f>
        <v>4000</v>
      </c>
      <c r="S23" s="6" cm="1">
        <f t="array" ref="S23">_xlfn.XLOOKUP(C23,Insurance_Reimbursement_Matrix!$A$2:$A$6,_xlfn.XLOOKUP(_xlfn.XLOOKUP(F23,Age_Bracket_Reference!$A$2:$A$6,Age_Bracket_Reference!$B$2:$B$6,,-1),Insurance_Reimbursement_Matrix!$B$1:$F$1,Insurance_Reimbursement_Matrix!$B$2:$F$6))</f>
        <v>0.84</v>
      </c>
    </row>
    <row r="24" spans="1:19" x14ac:dyDescent="0.25">
      <c r="A24" s="2" t="s">
        <v>126</v>
      </c>
      <c r="B24" s="2" t="s">
        <v>127</v>
      </c>
      <c r="C24" s="2" t="s">
        <v>37</v>
      </c>
      <c r="D24" s="2" t="s">
        <v>128</v>
      </c>
      <c r="E24" s="2" t="s">
        <v>120</v>
      </c>
      <c r="F24" s="2">
        <v>34</v>
      </c>
      <c r="G24" s="2" t="s">
        <v>129</v>
      </c>
      <c r="H24" s="2" t="s">
        <v>130</v>
      </c>
      <c r="I24" s="18">
        <v>35642</v>
      </c>
      <c r="J24" s="2">
        <v>11</v>
      </c>
      <c r="K24" t="str">
        <f>_xlfn.IFNA(VLOOKUP(TRIM(E24),Doctor_Directory!$A$2:$D$31,2,FALSE),"No name")</f>
        <v>Dr. Adaugo Fashola</v>
      </c>
      <c r="L24" t="str">
        <f>VLOOKUP(TRIM(D24),[1]Hospital_Details!$A$2:$D$16,2,FALSE)</f>
        <v>MC-ENU-03</v>
      </c>
      <c r="M24" t="str">
        <f>VLOOKUP(I24,Bill_Tier_Reference!$A$2:$B$5,2,TRUE)</f>
        <v>Tier 2 - Standard</v>
      </c>
      <c r="N24" t="str">
        <f>VLOOKUP(F24,Age_Bracket_Reference!$A$2:$B$6,2,TRUE)</f>
        <v>Young Adult</v>
      </c>
      <c r="O24" t="str">
        <f>VLOOKUP(C24,State_Coordinator!$A$2:$B$6,2,FALSE)</f>
        <v>Chidiebere Okoro</v>
      </c>
      <c r="P24" t="str">
        <f>VLOOKUP(L24,[2]Hospital_Details!$B$2:$D$16,3,FALSE)</f>
        <v>Gold</v>
      </c>
      <c r="Q24" t="str" cm="1">
        <f t="array" ref="Q24">_xlfn.IFS(ISNUMBER(SEARCH("TB", G24)),Protocol_Reference!$B$2, ISNUMBER(SEARCH("Malaria",G24)),Protocol_Reference!$B$3, ISNUMBER(SEARCH("Typhoid",G24)),Protocol_Reference!$B$4, ISNUMBER(SEARCH("Hypertension", G24,)),Protocol_Reference!$B$5, ISNUMBER(SEARCH("Diabetes", G24)),Protocol_Reference!$B$6, ISNUMBER(SEARCH("Cholera", G24)),Protocol_Reference!$B$7, ISNUMBER(SEARCH("Pneumonia", G24)),Protocol_Reference!$B$8, TRUE, "Out of scope/ Routine Care")</f>
        <v>Artemisinin-based Combination Therapy (ACT) - 3-day course</v>
      </c>
      <c r="R24" s="16">
        <f>IFERROR(VLOOKUP(E24,Doctor_Directory!$A$2:$D$31,4,FALSE),"Check Doctor Code")</f>
        <v>4000</v>
      </c>
      <c r="S24" s="6" cm="1">
        <f t="array" ref="S24">_xlfn.XLOOKUP(C24,Insurance_Reimbursement_Matrix!$A$2:$A$6,_xlfn.XLOOKUP(_xlfn.XLOOKUP(F24,Age_Bracket_Reference!$A$2:$A$6,Age_Bracket_Reference!$B$2:$B$6,,-1),Insurance_Reimbursement_Matrix!$B$1:$F$1,Insurance_Reimbursement_Matrix!$B$2:$F$6))</f>
        <v>0.69</v>
      </c>
    </row>
    <row r="25" spans="1:19" x14ac:dyDescent="0.25">
      <c r="A25" s="2" t="s">
        <v>131</v>
      </c>
      <c r="B25" s="2" t="s">
        <v>132</v>
      </c>
      <c r="C25" s="2" t="s">
        <v>12</v>
      </c>
      <c r="D25" s="2" t="s">
        <v>133</v>
      </c>
      <c r="E25" s="2" t="s">
        <v>134</v>
      </c>
      <c r="F25" s="2">
        <v>59</v>
      </c>
      <c r="G25" s="2" t="s">
        <v>75</v>
      </c>
      <c r="H25" s="2" t="s">
        <v>135</v>
      </c>
      <c r="I25" s="18">
        <v>145468</v>
      </c>
      <c r="J25" s="2">
        <v>3</v>
      </c>
      <c r="K25" t="str">
        <f>_xlfn.IFNA(VLOOKUP(TRIM(E25),Doctor_Directory!$A$2:$D$31,2,FALSE),"No name")</f>
        <v>Dr. Damilola Abubakar</v>
      </c>
      <c r="L25" t="str">
        <f>VLOOKUP(TRIM(D25),[1]Hospital_Details!$A$2:$D$16,2,FALSE)</f>
        <v>MC-PHC-02</v>
      </c>
      <c r="M25" t="str">
        <f>VLOOKUP(I25,Bill_Tier_Reference!$A$2:$B$5,2,TRUE)</f>
        <v>Tier 3 - Premium</v>
      </c>
      <c r="N25" t="str">
        <f>VLOOKUP(F25,Age_Bracket_Reference!$A$2:$B$6,2,TRUE)</f>
        <v>Adult</v>
      </c>
      <c r="O25" t="str">
        <f>VLOOKUP(C25,State_Coordinator!$A$2:$B$6,2,FALSE)</f>
        <v>Ebiere Amadi</v>
      </c>
      <c r="P25" t="str">
        <f>VLOOKUP(L25,[2]Hospital_Details!$B$2:$D$16,3,FALSE)</f>
        <v>Platinum</v>
      </c>
      <c r="Q25" t="str" cm="1">
        <f t="array" ref="Q25">_xlfn.IFS(ISNUMBER(SEARCH("TB", G25)),Protocol_Reference!$B$2, ISNUMBER(SEARCH("Malaria",G25)),Protocol_Reference!$B$3, ISNUMBER(SEARCH("Typhoid",G25)),Protocol_Reference!$B$4, ISNUMBER(SEARCH("Hypertension", G25,)),Protocol_Reference!$B$5, ISNUMBER(SEARCH("Diabetes", G25)),Protocol_Reference!$B$6, ISNUMBER(SEARCH("Cholera", G25)),Protocol_Reference!$B$7, ISNUMBER(SEARCH("Pneumonia", G25)),Protocol_Reference!$B$8, TRUE, "Out of scope/ Routine Care")</f>
        <v>Directly Observed Treatment Short-course (DOTS) - 6 month regimen</v>
      </c>
      <c r="R25" s="16">
        <f>IFERROR(VLOOKUP(E25,Doctor_Directory!$A$2:$D$31,4,FALSE),"Check Doctor Code")</f>
        <v>4000</v>
      </c>
      <c r="S25" s="6" cm="1">
        <f t="array" ref="S25">_xlfn.XLOOKUP(C25,Insurance_Reimbursement_Matrix!$A$2:$A$6,_xlfn.XLOOKUP(_xlfn.XLOOKUP(F25,Age_Bracket_Reference!$A$2:$A$6,Age_Bracket_Reference!$B$2:$B$6,,-1),Insurance_Reimbursement_Matrix!$B$1:$F$1,Insurance_Reimbursement_Matrix!$B$2:$F$6))</f>
        <v>0.71</v>
      </c>
    </row>
    <row r="26" spans="1:19" x14ac:dyDescent="0.25">
      <c r="A26" s="2" t="s">
        <v>136</v>
      </c>
      <c r="B26" s="2" t="s">
        <v>137</v>
      </c>
      <c r="C26" s="2" t="s">
        <v>44</v>
      </c>
      <c r="D26" s="2" t="s">
        <v>138</v>
      </c>
      <c r="E26" s="2" t="s">
        <v>116</v>
      </c>
      <c r="F26" s="2">
        <v>21</v>
      </c>
      <c r="G26" s="2" t="s">
        <v>40</v>
      </c>
      <c r="H26" s="2" t="s">
        <v>139</v>
      </c>
      <c r="I26" s="18">
        <v>12912</v>
      </c>
      <c r="J26" s="2">
        <v>11</v>
      </c>
      <c r="K26" t="str">
        <f>_xlfn.IFNA(VLOOKUP(TRIM(E26),Doctor_Directory!$A$2:$D$31,2,FALSE),"No name")</f>
        <v>Dr. Tunde Usman</v>
      </c>
      <c r="L26" t="str">
        <f>VLOOKUP(TRIM(D26),[1]Hospital_Details!$A$2:$D$16,2,FALSE)</f>
        <v>MC-ABJ-02</v>
      </c>
      <c r="M26" t="str">
        <f>VLOOKUP(I26,Bill_Tier_Reference!$A$2:$B$5,2,TRUE)</f>
        <v>Tier 1 - Basic</v>
      </c>
      <c r="N26" t="str">
        <f>VLOOKUP(F26,Age_Bracket_Reference!$A$2:$B$6,2,TRUE)</f>
        <v>Young Adult</v>
      </c>
      <c r="O26" t="str">
        <f>VLOOKUP(C26,State_Coordinator!$A$2:$B$6,2,FALSE)</f>
        <v>Ibrahim Garba</v>
      </c>
      <c r="P26" t="str">
        <f>VLOOKUP(L26,[2]Hospital_Details!$B$2:$D$16,3,FALSE)</f>
        <v>Silver</v>
      </c>
      <c r="Q26" t="str" cm="1">
        <f t="array" ref="Q26">_xlfn.IFS(ISNUMBER(SEARCH("TB", G26)),Protocol_Reference!$B$2, ISNUMBER(SEARCH("Malaria",G26)),Protocol_Reference!$B$3, ISNUMBER(SEARCH("Typhoid",G26)),Protocol_Reference!$B$4, ISNUMBER(SEARCH("Hypertension", G26,)),Protocol_Reference!$B$5, ISNUMBER(SEARCH("Diabetes", G26)),Protocol_Reference!$B$6, ISNUMBER(SEARCH("Cholera", G26)),Protocol_Reference!$B$7, ISNUMBER(SEARCH("Pneumonia", G26)),Protocol_Reference!$B$8, TRUE, "Out of scope/ Routine Care")</f>
        <v>Oral Rehydration Therapy + Doxycycline</v>
      </c>
      <c r="R26" s="16">
        <f>IFERROR(VLOOKUP(E26,Doctor_Directory!$A$2:$D$31,4,FALSE),"Check Doctor Code")</f>
        <v>10000</v>
      </c>
      <c r="S26" s="6" cm="1">
        <f t="array" ref="S26">_xlfn.XLOOKUP(C26,Insurance_Reimbursement_Matrix!$A$2:$A$6,_xlfn.XLOOKUP(_xlfn.XLOOKUP(F26,Age_Bracket_Reference!$A$2:$A$6,Age_Bracket_Reference!$B$2:$B$6,,-1),Insurance_Reimbursement_Matrix!$B$1:$F$1,Insurance_Reimbursement_Matrix!$B$2:$F$6))</f>
        <v>0.65</v>
      </c>
    </row>
    <row r="27" spans="1:19" x14ac:dyDescent="0.25">
      <c r="A27" s="2" t="s">
        <v>140</v>
      </c>
      <c r="B27" s="2" t="s">
        <v>141</v>
      </c>
      <c r="C27" s="2" t="s">
        <v>19</v>
      </c>
      <c r="D27" s="2" t="s">
        <v>20</v>
      </c>
      <c r="E27" s="2" t="s">
        <v>142</v>
      </c>
      <c r="F27" s="2">
        <v>15</v>
      </c>
      <c r="G27" s="2" t="s">
        <v>59</v>
      </c>
      <c r="H27" s="2" t="s">
        <v>143</v>
      </c>
      <c r="I27" s="18">
        <v>111930</v>
      </c>
      <c r="J27" s="2">
        <v>4</v>
      </c>
      <c r="K27" t="str">
        <f>_xlfn.IFNA(VLOOKUP(TRIM(E27),Doctor_Directory!$A$2:$D$31,2,FALSE),"No name")</f>
        <v>Dr. Bukola Ajayi</v>
      </c>
      <c r="L27" t="str">
        <f>VLOOKUP(TRIM(D27),[1]Hospital_Details!$A$2:$D$16,2,FALSE)</f>
        <v>MC-LAG-01</v>
      </c>
      <c r="M27" t="str">
        <f>VLOOKUP(I27,Bill_Tier_Reference!$A$2:$B$5,2,TRUE)</f>
        <v>Tier 3 - Premium</v>
      </c>
      <c r="N27" t="str">
        <f>VLOOKUP(F27,Age_Bracket_Reference!$A$2:$B$6,2,TRUE)</f>
        <v>Teen</v>
      </c>
      <c r="O27" t="str">
        <f>VLOOKUP(C27,State_Coordinator!$A$2:$B$6,2,FALSE)</f>
        <v>Funmilayo Adebayo</v>
      </c>
      <c r="P27" t="str">
        <f>VLOOKUP(L27,[2]Hospital_Details!$B$2:$D$16,3,FALSE)</f>
        <v>Platinum</v>
      </c>
      <c r="Q27" t="str" cm="1">
        <f t="array" ref="Q27">_xlfn.IFS(ISNUMBER(SEARCH("TB", G27)),Protocol_Reference!$B$2, ISNUMBER(SEARCH("Malaria",G27)),Protocol_Reference!$B$3, ISNUMBER(SEARCH("Typhoid",G27)),Protocol_Reference!$B$4, ISNUMBER(SEARCH("Hypertension", G27,)),Protocol_Reference!$B$5, ISNUMBER(SEARCH("Diabetes", G27)),Protocol_Reference!$B$6, ISNUMBER(SEARCH("Cholera", G27)),Protocol_Reference!$B$7, ISNUMBER(SEARCH("Pneumonia", G27)),Protocol_Reference!$B$8, TRUE, "Out of scope/ Routine Care")</f>
        <v>Directly Observed Treatment Short-course (DOTS) - 6 month regimen</v>
      </c>
      <c r="R27" s="16">
        <f>IFERROR(VLOOKUP(E27,Doctor_Directory!$A$2:$D$31,4,FALSE),"Check Doctor Code")</f>
        <v>7000</v>
      </c>
      <c r="S27" s="6" cm="1">
        <f t="array" ref="S27">_xlfn.XLOOKUP(C27,Insurance_Reimbursement_Matrix!$A$2:$A$6,_xlfn.XLOOKUP(_xlfn.XLOOKUP(F27,Age_Bracket_Reference!$A$2:$A$6,Age_Bracket_Reference!$B$2:$B$6,,-1),Insurance_Reimbursement_Matrix!$B$1:$F$1,Insurance_Reimbursement_Matrix!$B$2:$F$6))</f>
        <v>0.72</v>
      </c>
    </row>
    <row r="28" spans="1:19" x14ac:dyDescent="0.25">
      <c r="A28" s="2" t="s">
        <v>144</v>
      </c>
      <c r="B28" s="2" t="s">
        <v>145</v>
      </c>
      <c r="C28" s="2" t="s">
        <v>37</v>
      </c>
      <c r="D28" s="2" t="s">
        <v>146</v>
      </c>
      <c r="E28" s="2" t="s">
        <v>93</v>
      </c>
      <c r="F28" s="2">
        <v>7</v>
      </c>
      <c r="G28" s="2" t="s">
        <v>81</v>
      </c>
      <c r="H28" s="2" t="s">
        <v>147</v>
      </c>
      <c r="I28" s="18">
        <v>16879</v>
      </c>
      <c r="J28" s="2">
        <v>6</v>
      </c>
      <c r="K28" t="str">
        <f>_xlfn.IFNA(VLOOKUP(TRIM(E28),Doctor_Directory!$A$2:$D$31,2,FALSE),"No name")</f>
        <v>Dr. Ngozi Umar</v>
      </c>
      <c r="L28" t="str">
        <f>VLOOKUP(TRIM(D28),[1]Hospital_Details!$A$2:$D$16,2,FALSE)</f>
        <v>MC-ENU-02</v>
      </c>
      <c r="M28" t="str">
        <f>VLOOKUP(I28,Bill_Tier_Reference!$A$2:$B$5,2,TRUE)</f>
        <v>Tier 1 - Basic</v>
      </c>
      <c r="N28" t="str">
        <f>VLOOKUP(F28,Age_Bracket_Reference!$A$2:$B$6,2,TRUE)</f>
        <v>Child</v>
      </c>
      <c r="O28" t="str">
        <f>VLOOKUP(C28,State_Coordinator!$A$2:$B$6,2,FALSE)</f>
        <v>Chidiebere Okoro</v>
      </c>
      <c r="P28" t="str">
        <f>VLOOKUP(L28,[2]Hospital_Details!$B$2:$D$16,3,FALSE)</f>
        <v>Bronze</v>
      </c>
      <c r="Q28" t="str" cm="1">
        <f t="array" ref="Q28">_xlfn.IFS(ISNUMBER(SEARCH("TB", G28)),Protocol_Reference!$B$2, ISNUMBER(SEARCH("Malaria",G28)),Protocol_Reference!$B$3, ISNUMBER(SEARCH("Typhoid",G28)),Protocol_Reference!$B$4, ISNUMBER(SEARCH("Hypertension", G28,)),Protocol_Reference!$B$5, ISNUMBER(SEARCH("Diabetes", G28)),Protocol_Reference!$B$6, ISNUMBER(SEARCH("Cholera", G28)),Protocol_Reference!$B$7, ISNUMBER(SEARCH("Pneumonia", G28)),Protocol_Reference!$B$8, TRUE, "Out of scope/ Routine Care")</f>
        <v>Directly Observed Treatment Short-course (DOTS) - 6 month regimen</v>
      </c>
      <c r="R28" s="16">
        <f>IFERROR(VLOOKUP(E28,Doctor_Directory!$A$2:$D$31,4,FALSE),"Check Doctor Code")</f>
        <v>9000</v>
      </c>
      <c r="S28" s="6" cm="1">
        <f t="array" ref="S28">_xlfn.XLOOKUP(C28,Insurance_Reimbursement_Matrix!$A$2:$A$6,_xlfn.XLOOKUP(_xlfn.XLOOKUP(F28,Age_Bracket_Reference!$A$2:$A$6,Age_Bracket_Reference!$B$2:$B$6,,-1),Insurance_Reimbursement_Matrix!$B$1:$F$1,Insurance_Reimbursement_Matrix!$B$2:$F$6))</f>
        <v>0.9</v>
      </c>
    </row>
    <row r="29" spans="1:19" x14ac:dyDescent="0.25">
      <c r="A29" s="2" t="s">
        <v>148</v>
      </c>
      <c r="B29" s="2" t="s">
        <v>149</v>
      </c>
      <c r="C29" s="2" t="s">
        <v>26</v>
      </c>
      <c r="D29" s="2" t="s">
        <v>150</v>
      </c>
      <c r="E29" s="2" t="s">
        <v>69</v>
      </c>
      <c r="F29" s="2">
        <v>57</v>
      </c>
      <c r="G29" s="2" t="s">
        <v>151</v>
      </c>
      <c r="H29" s="2" t="s">
        <v>152</v>
      </c>
      <c r="I29" s="18">
        <v>17014</v>
      </c>
      <c r="J29" s="2">
        <v>12</v>
      </c>
      <c r="K29" t="str">
        <f>_xlfn.IFNA(VLOOKUP(TRIM(E29),Doctor_Directory!$A$2:$D$31,2,FALSE),"No name")</f>
        <v>Dr. Yusuf Usman</v>
      </c>
      <c r="L29" t="str">
        <f>VLOOKUP(TRIM(D29),[1]Hospital_Details!$A$2:$D$16,2,FALSE)</f>
        <v>MC-KAN-01</v>
      </c>
      <c r="M29" t="str">
        <f>VLOOKUP(I29,Bill_Tier_Reference!$A$2:$B$5,2,TRUE)</f>
        <v>Tier 1 - Basic</v>
      </c>
      <c r="N29" t="str">
        <f>VLOOKUP(F29,Age_Bracket_Reference!$A$2:$B$6,2,TRUE)</f>
        <v>Adult</v>
      </c>
      <c r="O29" t="str">
        <f>VLOOKUP(C29,State_Coordinator!$A$2:$B$6,2,FALSE)</f>
        <v>Hauwa Mustapha</v>
      </c>
      <c r="P29" t="str">
        <f>VLOOKUP(L29,[2]Hospital_Details!$B$2:$D$16,3,FALSE)</f>
        <v>Silver</v>
      </c>
      <c r="Q29" t="str" cm="1">
        <f t="array" ref="Q29">_xlfn.IFS(ISNUMBER(SEARCH("TB", G29)),Protocol_Reference!$B$2, ISNUMBER(SEARCH("Malaria",G29)),Protocol_Reference!$B$3, ISNUMBER(SEARCH("Typhoid",G29)),Protocol_Reference!$B$4, ISNUMBER(SEARCH("Hypertension", G29,)),Protocol_Reference!$B$5, ISNUMBER(SEARCH("Diabetes", G29)),Protocol_Reference!$B$6, ISNUMBER(SEARCH("Cholera", G29)),Protocol_Reference!$B$7, ISNUMBER(SEARCH("Pneumonia", G29)),Protocol_Reference!$B$8, TRUE, "Out of scope/ Routine Care")</f>
        <v>Amoxicillin-Clavulanate 625mg three times daily for 7 days</v>
      </c>
      <c r="R29" s="16">
        <f>IFERROR(VLOOKUP(E29,Doctor_Directory!$A$2:$D$31,4,FALSE),"Check Doctor Code")</f>
        <v>9000</v>
      </c>
      <c r="S29" s="6" cm="1">
        <f t="array" ref="S29">_xlfn.XLOOKUP(C29,Insurance_Reimbursement_Matrix!$A$2:$A$6,_xlfn.XLOOKUP(_xlfn.XLOOKUP(F29,Age_Bracket_Reference!$A$2:$A$6,Age_Bracket_Reference!$B$2:$B$6,,-1),Insurance_Reimbursement_Matrix!$B$1:$F$1,Insurance_Reimbursement_Matrix!$B$2:$F$6))</f>
        <v>0.73</v>
      </c>
    </row>
    <row r="30" spans="1:19" x14ac:dyDescent="0.25">
      <c r="A30" s="2" t="s">
        <v>153</v>
      </c>
      <c r="B30" s="2" t="s">
        <v>154</v>
      </c>
      <c r="C30" s="2" t="s">
        <v>19</v>
      </c>
      <c r="D30" s="2" t="s">
        <v>155</v>
      </c>
      <c r="E30" s="2" t="s">
        <v>64</v>
      </c>
      <c r="F30" s="2">
        <v>19</v>
      </c>
      <c r="G30" s="2" t="s">
        <v>156</v>
      </c>
      <c r="H30" s="2" t="s">
        <v>157</v>
      </c>
      <c r="I30" s="18">
        <v>122795</v>
      </c>
      <c r="J30" s="2">
        <v>4</v>
      </c>
      <c r="K30" t="str">
        <f>_xlfn.IFNA(VLOOKUP(TRIM(E30),Doctor_Directory!$A$2:$D$31,2,FALSE),"No name")</f>
        <v>Dr. Zainab Lawal</v>
      </c>
      <c r="L30" t="str">
        <f>VLOOKUP(TRIM(D30),[1]Hospital_Details!$A$2:$D$16,2,FALSE)</f>
        <v>MC-LAG-02</v>
      </c>
      <c r="M30" t="str">
        <f>VLOOKUP(I30,Bill_Tier_Reference!$A$2:$B$5,2,TRUE)</f>
        <v>Tier 3 - Premium</v>
      </c>
      <c r="N30" t="str">
        <f>VLOOKUP(F30,Age_Bracket_Reference!$A$2:$B$6,2,TRUE)</f>
        <v>Young Adult</v>
      </c>
      <c r="O30" t="str">
        <f>VLOOKUP(C30,State_Coordinator!$A$2:$B$6,2,FALSE)</f>
        <v>Funmilayo Adebayo</v>
      </c>
      <c r="P30" t="str">
        <f>VLOOKUP(L30,[2]Hospital_Details!$B$2:$D$16,3,FALSE)</f>
        <v>Bronze</v>
      </c>
      <c r="Q30" t="str" cm="1">
        <f t="array" ref="Q30">_xlfn.IFS(ISNUMBER(SEARCH("TB", G30)),Protocol_Reference!$B$2, ISNUMBER(SEARCH("Malaria",G30)),Protocol_Reference!$B$3, ISNUMBER(SEARCH("Typhoid",G30)),Protocol_Reference!$B$4, ISNUMBER(SEARCH("Hypertension", G30,)),Protocol_Reference!$B$5, ISNUMBER(SEARCH("Diabetes", G30)),Protocol_Reference!$B$6, ISNUMBER(SEARCH("Cholera", G30)),Protocol_Reference!$B$7, ISNUMBER(SEARCH("Pneumonia", G30)),Protocol_Reference!$B$8, TRUE, "Out of scope/ Routine Care")</f>
        <v>Metformin 500mg twice daily + dietary counselling</v>
      </c>
      <c r="R30" s="16">
        <f>IFERROR(VLOOKUP(E30,Doctor_Directory!$A$2:$D$31,4,FALSE),"Check Doctor Code")</f>
        <v>10000</v>
      </c>
      <c r="S30" s="6" cm="1">
        <f t="array" ref="S30">_xlfn.XLOOKUP(C30,Insurance_Reimbursement_Matrix!$A$2:$A$6,_xlfn.XLOOKUP(_xlfn.XLOOKUP(F30,Age_Bracket_Reference!$A$2:$A$6,Age_Bracket_Reference!$B$2:$B$6,,-1),Insurance_Reimbursement_Matrix!$B$1:$F$1,Insurance_Reimbursement_Matrix!$B$2:$F$6))</f>
        <v>0.67</v>
      </c>
    </row>
    <row r="31" spans="1:19" x14ac:dyDescent="0.25">
      <c r="A31" s="2" t="s">
        <v>158</v>
      </c>
      <c r="B31" s="2" t="s">
        <v>159</v>
      </c>
      <c r="C31" s="2" t="s">
        <v>19</v>
      </c>
      <c r="D31" s="2" t="s">
        <v>160</v>
      </c>
      <c r="E31" s="2" t="s">
        <v>58</v>
      </c>
      <c r="F31" s="2">
        <v>72</v>
      </c>
      <c r="G31" s="2" t="s">
        <v>156</v>
      </c>
      <c r="H31" s="2" t="s">
        <v>161</v>
      </c>
      <c r="I31" s="18">
        <v>35514</v>
      </c>
      <c r="J31" s="2">
        <v>7</v>
      </c>
      <c r="K31" t="str">
        <f>_xlfn.IFNA(VLOOKUP(TRIM(E31),Doctor_Directory!$A$2:$D$31,2,FALSE),"No name")</f>
        <v>Dr. Damilola Chidozie</v>
      </c>
      <c r="L31" t="str">
        <f>VLOOKUP(TRIM(D31),[1]Hospital_Details!$A$2:$D$16,2,FALSE)</f>
        <v>MC-LAG-02</v>
      </c>
      <c r="M31" t="str">
        <f>VLOOKUP(I31,Bill_Tier_Reference!$A$2:$B$5,2,TRUE)</f>
        <v>Tier 2 - Standard</v>
      </c>
      <c r="N31" t="str">
        <f>VLOOKUP(F31,Age_Bracket_Reference!$A$2:$B$6,2,TRUE)</f>
        <v>Senior</v>
      </c>
      <c r="O31" t="str">
        <f>VLOOKUP(C31,State_Coordinator!$A$2:$B$6,2,FALSE)</f>
        <v>Funmilayo Adebayo</v>
      </c>
      <c r="P31" t="str">
        <f>VLOOKUP(L31,[2]Hospital_Details!$B$2:$D$16,3,FALSE)</f>
        <v>Bronze</v>
      </c>
      <c r="Q31" t="str" cm="1">
        <f t="array" ref="Q31">_xlfn.IFS(ISNUMBER(SEARCH("TB", G31)),Protocol_Reference!$B$2, ISNUMBER(SEARCH("Malaria",G31)),Protocol_Reference!$B$3, ISNUMBER(SEARCH("Typhoid",G31)),Protocol_Reference!$B$4, ISNUMBER(SEARCH("Hypertension", G31,)),Protocol_Reference!$B$5, ISNUMBER(SEARCH("Diabetes", G31)),Protocol_Reference!$B$6, ISNUMBER(SEARCH("Cholera", G31)),Protocol_Reference!$B$7, ISNUMBER(SEARCH("Pneumonia", G31)),Protocol_Reference!$B$8, TRUE, "Out of scope/ Routine Care")</f>
        <v>Metformin 500mg twice daily + dietary counselling</v>
      </c>
      <c r="R31" s="16">
        <f>IFERROR(VLOOKUP(E31,Doctor_Directory!$A$2:$D$31,4,FALSE),"Check Doctor Code")</f>
        <v>6000</v>
      </c>
      <c r="S31" s="6" cm="1">
        <f t="array" ref="S31">_xlfn.XLOOKUP(C31,Insurance_Reimbursement_Matrix!$A$2:$A$6,_xlfn.XLOOKUP(_xlfn.XLOOKUP(F31,Age_Bracket_Reference!$A$2:$A$6,Age_Bracket_Reference!$B$2:$B$6,,-1),Insurance_Reimbursement_Matrix!$B$1:$F$1,Insurance_Reimbursement_Matrix!$B$2:$F$6))</f>
        <v>0.8</v>
      </c>
    </row>
    <row r="32" spans="1:19" x14ac:dyDescent="0.25">
      <c r="A32" s="2" t="s">
        <v>162</v>
      </c>
      <c r="B32" s="2" t="s">
        <v>163</v>
      </c>
      <c r="C32" s="2" t="s">
        <v>26</v>
      </c>
      <c r="D32" s="2" t="s">
        <v>115</v>
      </c>
      <c r="E32" s="2" t="s">
        <v>46</v>
      </c>
      <c r="F32" s="2">
        <v>86</v>
      </c>
      <c r="G32" s="2" t="s">
        <v>53</v>
      </c>
      <c r="H32" s="2" t="s">
        <v>164</v>
      </c>
      <c r="I32" s="18">
        <v>256673</v>
      </c>
      <c r="J32" s="2">
        <v>14</v>
      </c>
      <c r="K32" t="str">
        <f>_xlfn.IFNA(VLOOKUP(TRIM(E32),Doctor_Directory!$A$2:$D$31,2,FALSE),"No name")</f>
        <v>Dr. Amaka Okafor</v>
      </c>
      <c r="L32" t="str">
        <f>VLOOKUP(TRIM(D32),[1]Hospital_Details!$A$2:$D$16,2,FALSE)</f>
        <v>MC-KAN-02</v>
      </c>
      <c r="M32" t="str">
        <f>VLOOKUP(I32,Bill_Tier_Reference!$A$2:$B$5,2,TRUE)</f>
        <v>Tier 4 - Elite</v>
      </c>
      <c r="N32" t="str">
        <f>VLOOKUP(F32,Age_Bracket_Reference!$A$2:$B$6,2,TRUE)</f>
        <v>Senior</v>
      </c>
      <c r="O32" t="str">
        <f>VLOOKUP(C32,State_Coordinator!$A$2:$B$6,2,FALSE)</f>
        <v>Hauwa Mustapha</v>
      </c>
      <c r="P32" t="str">
        <f>VLOOKUP(L32,[2]Hospital_Details!$B$2:$D$16,3,FALSE)</f>
        <v>Bronze</v>
      </c>
      <c r="Q32" t="str" cm="1">
        <f t="array" ref="Q32">_xlfn.IFS(ISNUMBER(SEARCH("TB", G32)),Protocol_Reference!$B$2, ISNUMBER(SEARCH("Malaria",G32)),Protocol_Reference!$B$3, ISNUMBER(SEARCH("Typhoid",G32)),Protocol_Reference!$B$4, ISNUMBER(SEARCH("Hypertension", G32,)),Protocol_Reference!$B$5, ISNUMBER(SEARCH("Diabetes", G32)),Protocol_Reference!$B$6, ISNUMBER(SEARCH("Cholera", G32)),Protocol_Reference!$B$7, ISNUMBER(SEARCH("Pneumonia", G32)),Protocol_Reference!$B$8, TRUE, "Out of scope/ Routine Care")</f>
        <v>Out of scope/ Routine Care</v>
      </c>
      <c r="R32" s="16">
        <f>IFERROR(VLOOKUP(E32,Doctor_Directory!$A$2:$D$31,4,FALSE),"Check Doctor Code")</f>
        <v>4000</v>
      </c>
      <c r="S32" s="6" cm="1">
        <f t="array" ref="S32">_xlfn.XLOOKUP(C32,Insurance_Reimbursement_Matrix!$A$2:$A$6,_xlfn.XLOOKUP(_xlfn.XLOOKUP(F32,Age_Bracket_Reference!$A$2:$A$6,Age_Bracket_Reference!$B$2:$B$6,,-1),Insurance_Reimbursement_Matrix!$B$1:$F$1,Insurance_Reimbursement_Matrix!$B$2:$F$6))</f>
        <v>0.76</v>
      </c>
    </row>
    <row r="33" spans="1:19" x14ac:dyDescent="0.25">
      <c r="A33" s="2" t="s">
        <v>165</v>
      </c>
      <c r="B33" s="2" t="s">
        <v>166</v>
      </c>
      <c r="C33" s="2" t="s">
        <v>44</v>
      </c>
      <c r="D33" s="2" t="s">
        <v>45</v>
      </c>
      <c r="E33" s="2" t="s">
        <v>167</v>
      </c>
      <c r="F33" s="2">
        <v>59</v>
      </c>
      <c r="G33" s="2" t="s">
        <v>22</v>
      </c>
      <c r="H33" s="2" t="s">
        <v>168</v>
      </c>
      <c r="I33" s="18">
        <v>301255</v>
      </c>
      <c r="J33" s="2">
        <v>6</v>
      </c>
      <c r="K33" t="str">
        <f>_xlfn.IFNA(VLOOKUP(TRIM(E33),Doctor_Directory!$A$2:$D$31,2,FALSE),"No name")</f>
        <v>Dr. Hadiza Eze</v>
      </c>
      <c r="L33" t="str">
        <f>VLOOKUP(TRIM(D33),[1]Hospital_Details!$A$2:$D$16,2,FALSE)</f>
        <v>MC-ABJ-01</v>
      </c>
      <c r="M33" t="str">
        <f>VLOOKUP(I33,Bill_Tier_Reference!$A$2:$B$5,2,TRUE)</f>
        <v>Tier 4 - Elite</v>
      </c>
      <c r="N33" t="str">
        <f>VLOOKUP(F33,Age_Bracket_Reference!$A$2:$B$6,2,TRUE)</f>
        <v>Adult</v>
      </c>
      <c r="O33" t="str">
        <f>VLOOKUP(C33,State_Coordinator!$A$2:$B$6,2,FALSE)</f>
        <v>Ibrahim Garba</v>
      </c>
      <c r="P33" t="str">
        <f>VLOOKUP(L33,[2]Hospital_Details!$B$2:$D$16,3,FALSE)</f>
        <v>Platinum</v>
      </c>
      <c r="Q33" t="str" cm="1">
        <f t="array" ref="Q33">_xlfn.IFS(ISNUMBER(SEARCH("TB", G33)),Protocol_Reference!$B$2, ISNUMBER(SEARCH("Malaria",G33)),Protocol_Reference!$B$3, ISNUMBER(SEARCH("Typhoid",G33)),Protocol_Reference!$B$4, ISNUMBER(SEARCH("Hypertension", G33,)),Protocol_Reference!$B$5, ISNUMBER(SEARCH("Diabetes", G33)),Protocol_Reference!$B$6, ISNUMBER(SEARCH("Cholera", G33)),Protocol_Reference!$B$7, ISNUMBER(SEARCH("Pneumonia", G33)),Protocol_Reference!$B$8, TRUE, "Out of scope/ Routine Care")</f>
        <v>Out of scope/ Routine Care</v>
      </c>
      <c r="R33" s="16">
        <f>IFERROR(VLOOKUP(E33,Doctor_Directory!$A$2:$D$31,4,FALSE),"Check Doctor Code")</f>
        <v>4500</v>
      </c>
      <c r="S33" s="6" cm="1">
        <f t="array" ref="S33">_xlfn.XLOOKUP(C33,Insurance_Reimbursement_Matrix!$A$2:$A$6,_xlfn.XLOOKUP(_xlfn.XLOOKUP(F33,Age_Bracket_Reference!$A$2:$A$6,Age_Bracket_Reference!$B$2:$B$6,,-1),Insurance_Reimbursement_Matrix!$B$1:$F$1,Insurance_Reimbursement_Matrix!$B$2:$F$6))</f>
        <v>0.65</v>
      </c>
    </row>
    <row r="34" spans="1:19" x14ac:dyDescent="0.25">
      <c r="A34" s="2" t="s">
        <v>169</v>
      </c>
      <c r="B34" s="2" t="s">
        <v>170</v>
      </c>
      <c r="C34" s="2" t="s">
        <v>26</v>
      </c>
      <c r="D34" s="2" t="s">
        <v>115</v>
      </c>
      <c r="E34" s="2" t="s">
        <v>103</v>
      </c>
      <c r="F34" s="2">
        <v>66</v>
      </c>
      <c r="G34" s="2" t="s">
        <v>47</v>
      </c>
      <c r="H34" s="2" t="s">
        <v>171</v>
      </c>
      <c r="I34" s="18">
        <v>21808</v>
      </c>
      <c r="J34" s="2">
        <v>10</v>
      </c>
      <c r="K34" t="str">
        <f>_xlfn.IFNA(VLOOKUP(TRIM(E34),Doctor_Directory!$A$2:$D$31,2,FALSE),"No name")</f>
        <v>Dr. Segun Ogundele</v>
      </c>
      <c r="L34" t="str">
        <f>VLOOKUP(TRIM(D34),[1]Hospital_Details!$A$2:$D$16,2,FALSE)</f>
        <v>MC-KAN-02</v>
      </c>
      <c r="M34" t="str">
        <f>VLOOKUP(I34,Bill_Tier_Reference!$A$2:$B$5,2,TRUE)</f>
        <v>Tier 2 - Standard</v>
      </c>
      <c r="N34" t="str">
        <f>VLOOKUP(F34,Age_Bracket_Reference!$A$2:$B$6,2,TRUE)</f>
        <v>Senior</v>
      </c>
      <c r="O34" t="str">
        <f>VLOOKUP(C34,State_Coordinator!$A$2:$B$6,2,FALSE)</f>
        <v>Hauwa Mustapha</v>
      </c>
      <c r="P34" t="str">
        <f>VLOOKUP(L34,[2]Hospital_Details!$B$2:$D$16,3,FALSE)</f>
        <v>Bronze</v>
      </c>
      <c r="Q34" t="str" cm="1">
        <f t="array" ref="Q34">_xlfn.IFS(ISNUMBER(SEARCH("TB", G34)),Protocol_Reference!$B$2, ISNUMBER(SEARCH("Malaria",G34)),Protocol_Reference!$B$3, ISNUMBER(SEARCH("Typhoid",G34)),Protocol_Reference!$B$4, ISNUMBER(SEARCH("Hypertension", G34,)),Protocol_Reference!$B$5, ISNUMBER(SEARCH("Diabetes", G34)),Protocol_Reference!$B$6, ISNUMBER(SEARCH("Cholera", G34)),Protocol_Reference!$B$7, ISNUMBER(SEARCH("Pneumonia", G34)),Protocol_Reference!$B$8, TRUE, "Out of scope/ Routine Care")</f>
        <v>Metformin 500mg twice daily + dietary counselling</v>
      </c>
      <c r="R34" s="16">
        <f>IFERROR(VLOOKUP(E34,Doctor_Directory!$A$2:$D$31,4,FALSE),"Check Doctor Code")</f>
        <v>5000</v>
      </c>
      <c r="S34" s="6" cm="1">
        <f t="array" ref="S34">_xlfn.XLOOKUP(C34,Insurance_Reimbursement_Matrix!$A$2:$A$6,_xlfn.XLOOKUP(_xlfn.XLOOKUP(F34,Age_Bracket_Reference!$A$2:$A$6,Age_Bracket_Reference!$B$2:$B$6,,-1),Insurance_Reimbursement_Matrix!$B$1:$F$1,Insurance_Reimbursement_Matrix!$B$2:$F$6))</f>
        <v>0.76</v>
      </c>
    </row>
    <row r="35" spans="1:19" x14ac:dyDescent="0.25">
      <c r="A35" s="2" t="s">
        <v>172</v>
      </c>
      <c r="B35" s="2" t="s">
        <v>173</v>
      </c>
      <c r="C35" s="2" t="s">
        <v>19</v>
      </c>
      <c r="D35" s="2" t="s">
        <v>102</v>
      </c>
      <c r="E35" s="2" t="s">
        <v>106</v>
      </c>
      <c r="F35" s="2">
        <v>45</v>
      </c>
      <c r="G35" s="2" t="s">
        <v>53</v>
      </c>
      <c r="H35" s="2" t="s">
        <v>174</v>
      </c>
      <c r="I35" s="18">
        <v>260631</v>
      </c>
      <c r="J35" s="2">
        <v>10</v>
      </c>
      <c r="K35" t="str">
        <f>_xlfn.IFNA(VLOOKUP(TRIM(E35),Doctor_Directory!$A$2:$D$31,2,FALSE),"No name")</f>
        <v>Dr. Oluwaseun Fashola</v>
      </c>
      <c r="L35" t="str">
        <f>VLOOKUP(TRIM(D35),[1]Hospital_Details!$A$2:$D$16,2,FALSE)</f>
        <v>MC-LAG-03</v>
      </c>
      <c r="M35" t="str">
        <f>VLOOKUP(I35,Bill_Tier_Reference!$A$2:$B$5,2,TRUE)</f>
        <v>Tier 4 - Elite</v>
      </c>
      <c r="N35" t="str">
        <f>VLOOKUP(F35,Age_Bracket_Reference!$A$2:$B$6,2,TRUE)</f>
        <v>Adult</v>
      </c>
      <c r="O35" t="str">
        <f>VLOOKUP(C35,State_Coordinator!$A$2:$B$6,2,FALSE)</f>
        <v>Funmilayo Adebayo</v>
      </c>
      <c r="P35" t="str">
        <f>VLOOKUP(L35,[2]Hospital_Details!$B$2:$D$16,3,FALSE)</f>
        <v>Bronze</v>
      </c>
      <c r="Q35" t="str" cm="1">
        <f t="array" ref="Q35">_xlfn.IFS(ISNUMBER(SEARCH("TB", G35)),Protocol_Reference!$B$2, ISNUMBER(SEARCH("Malaria",G35)),Protocol_Reference!$B$3, ISNUMBER(SEARCH("Typhoid",G35)),Protocol_Reference!$B$4, ISNUMBER(SEARCH("Hypertension", G35,)),Protocol_Reference!$B$5, ISNUMBER(SEARCH("Diabetes", G35)),Protocol_Reference!$B$6, ISNUMBER(SEARCH("Cholera", G35)),Protocol_Reference!$B$7, ISNUMBER(SEARCH("Pneumonia", G35)),Protocol_Reference!$B$8, TRUE, "Out of scope/ Routine Care")</f>
        <v>Out of scope/ Routine Care</v>
      </c>
      <c r="R35" s="16">
        <f>IFERROR(VLOOKUP(E35,Doctor_Directory!$A$2:$D$31,4,FALSE),"Check Doctor Code")</f>
        <v>6000</v>
      </c>
      <c r="S35" s="6" cm="1">
        <f t="array" ref="S35">_xlfn.XLOOKUP(C35,Insurance_Reimbursement_Matrix!$A$2:$A$6,_xlfn.XLOOKUP(_xlfn.XLOOKUP(F35,Age_Bracket_Reference!$A$2:$A$6,Age_Bracket_Reference!$B$2:$B$6,,-1),Insurance_Reimbursement_Matrix!$B$1:$F$1,Insurance_Reimbursement_Matrix!$B$2:$F$6))</f>
        <v>0.66</v>
      </c>
    </row>
    <row r="36" spans="1:19" x14ac:dyDescent="0.25">
      <c r="A36" s="2" t="s">
        <v>175</v>
      </c>
      <c r="B36" s="2" t="s">
        <v>176</v>
      </c>
      <c r="C36" s="2" t="s">
        <v>19</v>
      </c>
      <c r="D36" s="2" t="s">
        <v>102</v>
      </c>
      <c r="E36" s="2" t="s">
        <v>106</v>
      </c>
      <c r="F36" s="2">
        <v>1</v>
      </c>
      <c r="G36" s="2" t="s">
        <v>70</v>
      </c>
      <c r="H36" s="2" t="s">
        <v>82</v>
      </c>
      <c r="I36" s="18">
        <v>131531</v>
      </c>
      <c r="J36" s="2">
        <v>10</v>
      </c>
      <c r="K36" t="str">
        <f>_xlfn.IFNA(VLOOKUP(TRIM(E36),Doctor_Directory!$A$2:$D$31,2,FALSE),"No name")</f>
        <v>Dr. Oluwaseun Fashola</v>
      </c>
      <c r="L36" t="str">
        <f>VLOOKUP(TRIM(D36),[1]Hospital_Details!$A$2:$D$16,2,FALSE)</f>
        <v>MC-LAG-03</v>
      </c>
      <c r="M36" t="str">
        <f>VLOOKUP(I36,Bill_Tier_Reference!$A$2:$B$5,2,TRUE)</f>
        <v>Tier 3 - Premium</v>
      </c>
      <c r="N36" t="str">
        <f>VLOOKUP(F36,Age_Bracket_Reference!$A$2:$B$6,2,TRUE)</f>
        <v>Child</v>
      </c>
      <c r="O36" t="str">
        <f>VLOOKUP(C36,State_Coordinator!$A$2:$B$6,2,FALSE)</f>
        <v>Funmilayo Adebayo</v>
      </c>
      <c r="P36" t="str">
        <f>VLOOKUP(L36,[2]Hospital_Details!$B$2:$D$16,3,FALSE)</f>
        <v>Bronze</v>
      </c>
      <c r="Q36" t="str" cm="1">
        <f t="array" ref="Q36">_xlfn.IFS(ISNUMBER(SEARCH("TB", G36)),Protocol_Reference!$B$2, ISNUMBER(SEARCH("Malaria",G36)),Protocol_Reference!$B$3, ISNUMBER(SEARCH("Typhoid",G36)),Protocol_Reference!$B$4, ISNUMBER(SEARCH("Hypertension", G36,)),Protocol_Reference!$B$5, ISNUMBER(SEARCH("Diabetes", G36)),Protocol_Reference!$B$6, ISNUMBER(SEARCH("Cholera", G36)),Protocol_Reference!$B$7, ISNUMBER(SEARCH("Pneumonia", G36)),Protocol_Reference!$B$8, TRUE, "Out of scope/ Routine Care")</f>
        <v>Amoxicillin-Clavulanate 625mg three times daily for 7 days</v>
      </c>
      <c r="R36" s="16">
        <f>IFERROR(VLOOKUP(E36,Doctor_Directory!$A$2:$D$31,4,FALSE),"Check Doctor Code")</f>
        <v>6000</v>
      </c>
      <c r="S36" s="6" cm="1">
        <f t="array" ref="S36">_xlfn.XLOOKUP(C36,Insurance_Reimbursement_Matrix!$A$2:$A$6,_xlfn.XLOOKUP(_xlfn.XLOOKUP(F36,Age_Bracket_Reference!$A$2:$A$6,Age_Bracket_Reference!$B$2:$B$6,,-1),Insurance_Reimbursement_Matrix!$B$1:$F$1,Insurance_Reimbursement_Matrix!$B$2:$F$6))</f>
        <v>0.83</v>
      </c>
    </row>
    <row r="37" spans="1:19" x14ac:dyDescent="0.25">
      <c r="A37" s="2" t="s">
        <v>177</v>
      </c>
      <c r="B37" s="2" t="s">
        <v>178</v>
      </c>
      <c r="C37" s="2" t="s">
        <v>26</v>
      </c>
      <c r="D37" s="2" t="s">
        <v>179</v>
      </c>
      <c r="E37" s="2" t="s">
        <v>180</v>
      </c>
      <c r="F37" s="2">
        <v>53</v>
      </c>
      <c r="G37" s="2" t="s">
        <v>89</v>
      </c>
      <c r="H37" s="2" t="s">
        <v>181</v>
      </c>
      <c r="I37" s="18">
        <v>300579</v>
      </c>
      <c r="J37" s="2">
        <v>11</v>
      </c>
      <c r="K37" t="str">
        <f>_xlfn.IFNA(VLOOKUP(TRIM(E37),Doctor_Directory!$A$2:$D$31,2,FALSE),"No name")</f>
        <v>Dr. Maryam Eneh</v>
      </c>
      <c r="L37" t="str">
        <f>VLOOKUP(TRIM(D37),[1]Hospital_Details!$A$2:$D$16,2,FALSE)</f>
        <v>MC-KAN-03</v>
      </c>
      <c r="M37" t="str">
        <f>VLOOKUP(I37,Bill_Tier_Reference!$A$2:$B$5,2,TRUE)</f>
        <v>Tier 4 - Elite</v>
      </c>
      <c r="N37" t="str">
        <f>VLOOKUP(F37,Age_Bracket_Reference!$A$2:$B$6,2,TRUE)</f>
        <v>Adult</v>
      </c>
      <c r="O37" t="str">
        <f>VLOOKUP(C37,State_Coordinator!$A$2:$B$6,2,FALSE)</f>
        <v>Hauwa Mustapha</v>
      </c>
      <c r="P37" t="str">
        <f>VLOOKUP(L37,[2]Hospital_Details!$B$2:$D$16,3,FALSE)</f>
        <v>Platinum</v>
      </c>
      <c r="Q37" t="str" cm="1">
        <f t="array" ref="Q37">_xlfn.IFS(ISNUMBER(SEARCH("TB", G37)),Protocol_Reference!$B$2, ISNUMBER(SEARCH("Malaria",G37)),Protocol_Reference!$B$3, ISNUMBER(SEARCH("Typhoid",G37)),Protocol_Reference!$B$4, ISNUMBER(SEARCH("Hypertension", G37,)),Protocol_Reference!$B$5, ISNUMBER(SEARCH("Diabetes", G37)),Protocol_Reference!$B$6, ISNUMBER(SEARCH("Cholera", G37)),Protocol_Reference!$B$7, ISNUMBER(SEARCH("Pneumonia", G37)),Protocol_Reference!$B$8, TRUE, "Out of scope/ Routine Care")</f>
        <v>Out of scope/ Routine Care</v>
      </c>
      <c r="R37" s="16">
        <f>IFERROR(VLOOKUP(E37,Doctor_Directory!$A$2:$D$31,4,FALSE),"Check Doctor Code")</f>
        <v>10000</v>
      </c>
      <c r="S37" s="6" cm="1">
        <f t="array" ref="S37">_xlfn.XLOOKUP(C37,Insurance_Reimbursement_Matrix!$A$2:$A$6,_xlfn.XLOOKUP(_xlfn.XLOOKUP(F37,Age_Bracket_Reference!$A$2:$A$6,Age_Bracket_Reference!$B$2:$B$6,,-1),Insurance_Reimbursement_Matrix!$B$1:$F$1,Insurance_Reimbursement_Matrix!$B$2:$F$6))</f>
        <v>0.73</v>
      </c>
    </row>
    <row r="38" spans="1:19" x14ac:dyDescent="0.25">
      <c r="A38" s="2" t="s">
        <v>182</v>
      </c>
      <c r="B38" s="2" t="s">
        <v>183</v>
      </c>
      <c r="C38" s="2" t="s">
        <v>37</v>
      </c>
      <c r="D38" s="2" t="s">
        <v>38</v>
      </c>
      <c r="E38" s="2" t="s">
        <v>116</v>
      </c>
      <c r="F38" s="2">
        <v>52</v>
      </c>
      <c r="G38" s="2" t="s">
        <v>151</v>
      </c>
      <c r="H38" s="2" t="s">
        <v>16</v>
      </c>
      <c r="I38" s="18">
        <v>102549</v>
      </c>
      <c r="J38" s="2">
        <v>8</v>
      </c>
      <c r="K38" t="str">
        <f>_xlfn.IFNA(VLOOKUP(TRIM(E38),Doctor_Directory!$A$2:$D$31,2,FALSE),"No name")</f>
        <v>Dr. Tunde Usman</v>
      </c>
      <c r="L38" t="str">
        <f>VLOOKUP(TRIM(D38),[1]Hospital_Details!$A$2:$D$16,2,FALSE)</f>
        <v>MC-ENU-03</v>
      </c>
      <c r="M38" t="str">
        <f>VLOOKUP(I38,Bill_Tier_Reference!$A$2:$B$5,2,TRUE)</f>
        <v>Tier 3 - Premium</v>
      </c>
      <c r="N38" t="str">
        <f>VLOOKUP(F38,Age_Bracket_Reference!$A$2:$B$6,2,TRUE)</f>
        <v>Adult</v>
      </c>
      <c r="O38" t="str">
        <f>VLOOKUP(C38,State_Coordinator!$A$2:$B$6,2,FALSE)</f>
        <v>Chidiebere Okoro</v>
      </c>
      <c r="P38" t="str">
        <f>VLOOKUP(L38,[2]Hospital_Details!$B$2:$D$16,3,FALSE)</f>
        <v>Gold</v>
      </c>
      <c r="Q38" t="str" cm="1">
        <f t="array" ref="Q38">_xlfn.IFS(ISNUMBER(SEARCH("TB", G38)),Protocol_Reference!$B$2, ISNUMBER(SEARCH("Malaria",G38)),Protocol_Reference!$B$3, ISNUMBER(SEARCH("Typhoid",G38)),Protocol_Reference!$B$4, ISNUMBER(SEARCH("Hypertension", G38,)),Protocol_Reference!$B$5, ISNUMBER(SEARCH("Diabetes", G38)),Protocol_Reference!$B$6, ISNUMBER(SEARCH("Cholera", G38)),Protocol_Reference!$B$7, ISNUMBER(SEARCH("Pneumonia", G38)),Protocol_Reference!$B$8, TRUE, "Out of scope/ Routine Care")</f>
        <v>Amoxicillin-Clavulanate 625mg three times daily for 7 days</v>
      </c>
      <c r="R38" s="16">
        <f>IFERROR(VLOOKUP(E38,Doctor_Directory!$A$2:$D$31,4,FALSE),"Check Doctor Code")</f>
        <v>10000</v>
      </c>
      <c r="S38" s="6" cm="1">
        <f t="array" ref="S38">_xlfn.XLOOKUP(C38,Insurance_Reimbursement_Matrix!$A$2:$A$6,_xlfn.XLOOKUP(_xlfn.XLOOKUP(F38,Age_Bracket_Reference!$A$2:$A$6,Age_Bracket_Reference!$B$2:$B$6,,-1),Insurance_Reimbursement_Matrix!$B$1:$F$1,Insurance_Reimbursement_Matrix!$B$2:$F$6))</f>
        <v>0.68</v>
      </c>
    </row>
    <row r="39" spans="1:19" x14ac:dyDescent="0.25">
      <c r="A39" s="2" t="s">
        <v>184</v>
      </c>
      <c r="B39" s="2" t="s">
        <v>185</v>
      </c>
      <c r="C39" s="2" t="s">
        <v>44</v>
      </c>
      <c r="D39" s="2" t="s">
        <v>186</v>
      </c>
      <c r="E39" s="2" t="s">
        <v>187</v>
      </c>
      <c r="F39" s="2">
        <v>22</v>
      </c>
      <c r="G39" s="2" t="s">
        <v>65</v>
      </c>
      <c r="H39" s="2" t="s">
        <v>188</v>
      </c>
      <c r="I39" s="18">
        <v>12299</v>
      </c>
      <c r="J39" s="2">
        <v>14</v>
      </c>
      <c r="K39" t="str">
        <f>_xlfn.IFNA(VLOOKUP(TRIM(E39),Doctor_Directory!$A$2:$D$31,2,FALSE),"No name")</f>
        <v>Dr. Maryam Adeyemi</v>
      </c>
      <c r="L39" t="str">
        <f>VLOOKUP(TRIM(D39),[1]Hospital_Details!$A$2:$D$16,2,FALSE)</f>
        <v>MC-ABJ-03</v>
      </c>
      <c r="M39" t="str">
        <f>VLOOKUP(I39,Bill_Tier_Reference!$A$2:$B$5,2,TRUE)</f>
        <v>Tier 1 - Basic</v>
      </c>
      <c r="N39" t="str">
        <f>VLOOKUP(F39,Age_Bracket_Reference!$A$2:$B$6,2,TRUE)</f>
        <v>Young Adult</v>
      </c>
      <c r="O39" t="str">
        <f>VLOOKUP(C39,State_Coordinator!$A$2:$B$6,2,FALSE)</f>
        <v>Ibrahim Garba</v>
      </c>
      <c r="P39" t="str">
        <f>VLOOKUP(L39,[2]Hospital_Details!$B$2:$D$16,3,FALSE)</f>
        <v>Silver</v>
      </c>
      <c r="Q39" t="str" cm="1">
        <f t="array" ref="Q39">_xlfn.IFS(ISNUMBER(SEARCH("TB", G39)),Protocol_Reference!$B$2, ISNUMBER(SEARCH("Malaria",G39)),Protocol_Reference!$B$3, ISNUMBER(SEARCH("Typhoid",G39)),Protocol_Reference!$B$4, ISNUMBER(SEARCH("Hypertension", G39,)),Protocol_Reference!$B$5, ISNUMBER(SEARCH("Diabetes", G39)),Protocol_Reference!$B$6, ISNUMBER(SEARCH("Cholera", G39)),Protocol_Reference!$B$7, ISNUMBER(SEARCH("Pneumonia", G39)),Protocol_Reference!$B$8, TRUE, "Out of scope/ Routine Care")</f>
        <v>Out of scope/ Routine Care</v>
      </c>
      <c r="R39" s="16">
        <f>IFERROR(VLOOKUP(E39,Doctor_Directory!$A$2:$D$31,4,FALSE),"Check Doctor Code")</f>
        <v>8500</v>
      </c>
      <c r="S39" s="6" cm="1">
        <f t="array" ref="S39">_xlfn.XLOOKUP(C39,Insurance_Reimbursement_Matrix!$A$2:$A$6,_xlfn.XLOOKUP(_xlfn.XLOOKUP(F39,Age_Bracket_Reference!$A$2:$A$6,Age_Bracket_Reference!$B$2:$B$6,,-1),Insurance_Reimbursement_Matrix!$B$1:$F$1,Insurance_Reimbursement_Matrix!$B$2:$F$6))</f>
        <v>0.65</v>
      </c>
    </row>
    <row r="40" spans="1:19" x14ac:dyDescent="0.25">
      <c r="A40" s="2" t="s">
        <v>189</v>
      </c>
      <c r="B40" s="2" t="s">
        <v>190</v>
      </c>
      <c r="C40" s="2" t="s">
        <v>26</v>
      </c>
      <c r="D40" s="2" t="s">
        <v>150</v>
      </c>
      <c r="E40" s="2" t="s">
        <v>46</v>
      </c>
      <c r="F40" s="2">
        <v>26</v>
      </c>
      <c r="G40" s="2" t="s">
        <v>191</v>
      </c>
      <c r="H40" s="2" t="s">
        <v>192</v>
      </c>
      <c r="I40" s="18">
        <v>238182</v>
      </c>
      <c r="J40" s="2">
        <v>7</v>
      </c>
      <c r="K40" t="str">
        <f>_xlfn.IFNA(VLOOKUP(TRIM(E40),Doctor_Directory!$A$2:$D$31,2,FALSE),"No name")</f>
        <v>Dr. Amaka Okafor</v>
      </c>
      <c r="L40" t="str">
        <f>VLOOKUP(TRIM(D40),[1]Hospital_Details!$A$2:$D$16,2,FALSE)</f>
        <v>MC-KAN-01</v>
      </c>
      <c r="M40" t="str">
        <f>VLOOKUP(I40,Bill_Tier_Reference!$A$2:$B$5,2,TRUE)</f>
        <v>Tier 4 - Elite</v>
      </c>
      <c r="N40" t="str">
        <f>VLOOKUP(F40,Age_Bracket_Reference!$A$2:$B$6,2,TRUE)</f>
        <v>Young Adult</v>
      </c>
      <c r="O40" t="str">
        <f>VLOOKUP(C40,State_Coordinator!$A$2:$B$6,2,FALSE)</f>
        <v>Hauwa Mustapha</v>
      </c>
      <c r="P40" t="str">
        <f>VLOOKUP(L40,[2]Hospital_Details!$B$2:$D$16,3,FALSE)</f>
        <v>Silver</v>
      </c>
      <c r="Q40" t="str" cm="1">
        <f t="array" ref="Q40">_xlfn.IFS(ISNUMBER(SEARCH("TB", G40)),Protocol_Reference!$B$2, ISNUMBER(SEARCH("Malaria",G40)),Protocol_Reference!$B$3, ISNUMBER(SEARCH("Typhoid",G40)),Protocol_Reference!$B$4, ISNUMBER(SEARCH("Hypertension", G40,)),Protocol_Reference!$B$5, ISNUMBER(SEARCH("Diabetes", G40)),Protocol_Reference!$B$6, ISNUMBER(SEARCH("Cholera", G40)),Protocol_Reference!$B$7, ISNUMBER(SEARCH("Pneumonia", G40)),Protocol_Reference!$B$8, TRUE, "Out of scope/ Routine Care")</f>
        <v>Directly Observed Treatment Short-course (DOTS) - 6 month regimen</v>
      </c>
      <c r="R40" s="16">
        <f>IFERROR(VLOOKUP(E40,Doctor_Directory!$A$2:$D$31,4,FALSE),"Check Doctor Code")</f>
        <v>4000</v>
      </c>
      <c r="S40" s="6" cm="1">
        <f t="array" ref="S40">_xlfn.XLOOKUP(C40,Insurance_Reimbursement_Matrix!$A$2:$A$6,_xlfn.XLOOKUP(_xlfn.XLOOKUP(F40,Age_Bracket_Reference!$A$2:$A$6,Age_Bracket_Reference!$B$2:$B$6,,-1),Insurance_Reimbursement_Matrix!$B$1:$F$1,Insurance_Reimbursement_Matrix!$B$2:$F$6))</f>
        <v>0.64</v>
      </c>
    </row>
    <row r="41" spans="1:19" x14ac:dyDescent="0.25">
      <c r="A41" s="2" t="s">
        <v>193</v>
      </c>
      <c r="B41" s="2" t="s">
        <v>194</v>
      </c>
      <c r="C41" s="2" t="s">
        <v>44</v>
      </c>
      <c r="D41" s="2" t="s">
        <v>186</v>
      </c>
      <c r="E41" s="2" t="s">
        <v>195</v>
      </c>
      <c r="F41" s="2">
        <v>50</v>
      </c>
      <c r="G41" s="2" t="s">
        <v>111</v>
      </c>
      <c r="H41" s="2" t="s">
        <v>181</v>
      </c>
      <c r="I41" s="18">
        <v>10994</v>
      </c>
      <c r="J41" s="2">
        <v>13</v>
      </c>
      <c r="K41" t="str">
        <f>_xlfn.IFNA(VLOOKUP(TRIM(E41),Doctor_Directory!$A$2:$D$31,2,FALSE),"No name")</f>
        <v>Dr. Oluwaseun Ogunleye</v>
      </c>
      <c r="L41" t="str">
        <f>VLOOKUP(TRIM(D41),[1]Hospital_Details!$A$2:$D$16,2,FALSE)</f>
        <v>MC-ABJ-03</v>
      </c>
      <c r="M41" t="str">
        <f>VLOOKUP(I41,Bill_Tier_Reference!$A$2:$B$5,2,TRUE)</f>
        <v>Tier 1 - Basic</v>
      </c>
      <c r="N41" t="str">
        <f>VLOOKUP(F41,Age_Bracket_Reference!$A$2:$B$6,2,TRUE)</f>
        <v>Adult</v>
      </c>
      <c r="O41" t="str">
        <f>VLOOKUP(C41,State_Coordinator!$A$2:$B$6,2,FALSE)</f>
        <v>Ibrahim Garba</v>
      </c>
      <c r="P41" t="str">
        <f>VLOOKUP(L41,[2]Hospital_Details!$B$2:$D$16,3,FALSE)</f>
        <v>Silver</v>
      </c>
      <c r="Q41" t="str" cm="1">
        <f t="array" ref="Q41">_xlfn.IFS(ISNUMBER(SEARCH("TB", G41)),Protocol_Reference!$B$2, ISNUMBER(SEARCH("Malaria",G41)),Protocol_Reference!$B$3, ISNUMBER(SEARCH("Typhoid",G41)),Protocol_Reference!$B$4, ISNUMBER(SEARCH("Hypertension", G41,)),Protocol_Reference!$B$5, ISNUMBER(SEARCH("Diabetes", G41)),Protocol_Reference!$B$6, ISNUMBER(SEARCH("Cholera", G41)),Protocol_Reference!$B$7, ISNUMBER(SEARCH("Pneumonia", G41)),Protocol_Reference!$B$8, TRUE, "Out of scope/ Routine Care")</f>
        <v>Oral Rehydration Therapy + Doxycycline</v>
      </c>
      <c r="R41" s="16">
        <f>IFERROR(VLOOKUP(E41,Doctor_Directory!$A$2:$D$31,4,FALSE),"Check Doctor Code")</f>
        <v>4500</v>
      </c>
      <c r="S41" s="6" cm="1">
        <f t="array" ref="S41">_xlfn.XLOOKUP(C41,Insurance_Reimbursement_Matrix!$A$2:$A$6,_xlfn.XLOOKUP(_xlfn.XLOOKUP(F41,Age_Bracket_Reference!$A$2:$A$6,Age_Bracket_Reference!$B$2:$B$6,,-1),Insurance_Reimbursement_Matrix!$B$1:$F$1,Insurance_Reimbursement_Matrix!$B$2:$F$6))</f>
        <v>0.65</v>
      </c>
    </row>
    <row r="42" spans="1:19" x14ac:dyDescent="0.25">
      <c r="A42" s="2" t="s">
        <v>196</v>
      </c>
      <c r="B42" s="2" t="s">
        <v>197</v>
      </c>
      <c r="C42" s="2" t="s">
        <v>44</v>
      </c>
      <c r="D42" s="2" t="s">
        <v>186</v>
      </c>
      <c r="E42" s="2" t="s">
        <v>198</v>
      </c>
      <c r="F42" s="2">
        <v>60</v>
      </c>
      <c r="G42" s="2" t="s">
        <v>121</v>
      </c>
      <c r="H42" s="2" t="s">
        <v>54</v>
      </c>
      <c r="I42" s="18">
        <v>269908</v>
      </c>
      <c r="J42" s="2">
        <v>11</v>
      </c>
      <c r="K42" t="str">
        <f>_xlfn.IFNA(VLOOKUP(TRIM(E42),Doctor_Directory!$A$2:$D$31,2,FALSE),"No name")</f>
        <v>Dr. Bukola Yakubu</v>
      </c>
      <c r="L42" t="str">
        <f>VLOOKUP(TRIM(D42),[1]Hospital_Details!$A$2:$D$16,2,FALSE)</f>
        <v>MC-ABJ-03</v>
      </c>
      <c r="M42" t="str">
        <f>VLOOKUP(I42,Bill_Tier_Reference!$A$2:$B$5,2,TRUE)</f>
        <v>Tier 4 - Elite</v>
      </c>
      <c r="N42" t="str">
        <f>VLOOKUP(F42,Age_Bracket_Reference!$A$2:$B$6,2,TRUE)</f>
        <v>Senior</v>
      </c>
      <c r="O42" t="str">
        <f>VLOOKUP(C42,State_Coordinator!$A$2:$B$6,2,FALSE)</f>
        <v>Ibrahim Garba</v>
      </c>
      <c r="P42" t="str">
        <f>VLOOKUP(L42,[2]Hospital_Details!$B$2:$D$16,3,FALSE)</f>
        <v>Silver</v>
      </c>
      <c r="Q42" t="str" cm="1">
        <f t="array" ref="Q42">_xlfn.IFS(ISNUMBER(SEARCH("TB", G42)),Protocol_Reference!$B$2, ISNUMBER(SEARCH("Malaria",G42)),Protocol_Reference!$B$3, ISNUMBER(SEARCH("Typhoid",G42)),Protocol_Reference!$B$4, ISNUMBER(SEARCH("Hypertension", G42,)),Protocol_Reference!$B$5, ISNUMBER(SEARCH("Diabetes", G42)),Protocol_Reference!$B$6, ISNUMBER(SEARCH("Cholera", G42)),Protocol_Reference!$B$7, ISNUMBER(SEARCH("Pneumonia", G42)),Protocol_Reference!$B$8, TRUE, "Out of scope/ Routine Care")</f>
        <v>Directly Observed Treatment Short-course (DOTS) - 6 month regimen</v>
      </c>
      <c r="R42" s="16">
        <f>IFERROR(VLOOKUP(E42,Doctor_Directory!$A$2:$D$31,4,FALSE),"Check Doctor Code")</f>
        <v>7500</v>
      </c>
      <c r="S42" s="6" cm="1">
        <f t="array" ref="S42">_xlfn.XLOOKUP(C42,Insurance_Reimbursement_Matrix!$A$2:$A$6,_xlfn.XLOOKUP(_xlfn.XLOOKUP(F42,Age_Bracket_Reference!$A$2:$A$6,Age_Bracket_Reference!$B$2:$B$6,,-1),Insurance_Reimbursement_Matrix!$B$1:$F$1,Insurance_Reimbursement_Matrix!$B$2:$F$6))</f>
        <v>0.79</v>
      </c>
    </row>
    <row r="43" spans="1:19" x14ac:dyDescent="0.25">
      <c r="A43" s="2" t="s">
        <v>199</v>
      </c>
      <c r="B43" s="2" t="s">
        <v>200</v>
      </c>
      <c r="C43" s="2" t="s">
        <v>37</v>
      </c>
      <c r="D43" s="2" t="s">
        <v>97</v>
      </c>
      <c r="E43" s="2" t="s">
        <v>58</v>
      </c>
      <c r="F43" s="2">
        <v>57</v>
      </c>
      <c r="G43" s="2" t="s">
        <v>75</v>
      </c>
      <c r="H43" s="2" t="s">
        <v>201</v>
      </c>
      <c r="I43" s="18">
        <v>74432</v>
      </c>
      <c r="J43" s="2">
        <v>12</v>
      </c>
      <c r="K43" t="str">
        <f>_xlfn.IFNA(VLOOKUP(TRIM(E43),Doctor_Directory!$A$2:$D$31,2,FALSE),"No name")</f>
        <v>Dr. Damilola Chidozie</v>
      </c>
      <c r="L43" t="str">
        <f>VLOOKUP(TRIM(D43),[1]Hospital_Details!$A$2:$D$16,2,FALSE)</f>
        <v>MC-ENU-02</v>
      </c>
      <c r="M43" t="str">
        <f>VLOOKUP(I43,Bill_Tier_Reference!$A$2:$B$5,2,TRUE)</f>
        <v>Tier 2 - Standard</v>
      </c>
      <c r="N43" t="str">
        <f>VLOOKUP(F43,Age_Bracket_Reference!$A$2:$B$6,2,TRUE)</f>
        <v>Adult</v>
      </c>
      <c r="O43" t="str">
        <f>VLOOKUP(C43,State_Coordinator!$A$2:$B$6,2,FALSE)</f>
        <v>Chidiebere Okoro</v>
      </c>
      <c r="P43" t="str">
        <f>VLOOKUP(L43,[2]Hospital_Details!$B$2:$D$16,3,FALSE)</f>
        <v>Bronze</v>
      </c>
      <c r="Q43" t="str" cm="1">
        <f t="array" ref="Q43">_xlfn.IFS(ISNUMBER(SEARCH("TB", G43)),Protocol_Reference!$B$2, ISNUMBER(SEARCH("Malaria",G43)),Protocol_Reference!$B$3, ISNUMBER(SEARCH("Typhoid",G43)),Protocol_Reference!$B$4, ISNUMBER(SEARCH("Hypertension", G43,)),Protocol_Reference!$B$5, ISNUMBER(SEARCH("Diabetes", G43)),Protocol_Reference!$B$6, ISNUMBER(SEARCH("Cholera", G43)),Protocol_Reference!$B$7, ISNUMBER(SEARCH("Pneumonia", G43)),Protocol_Reference!$B$8, TRUE, "Out of scope/ Routine Care")</f>
        <v>Directly Observed Treatment Short-course (DOTS) - 6 month regimen</v>
      </c>
      <c r="R43" s="16">
        <f>IFERROR(VLOOKUP(E43,Doctor_Directory!$A$2:$D$31,4,FALSE),"Check Doctor Code")</f>
        <v>6000</v>
      </c>
      <c r="S43" s="6" cm="1">
        <f t="array" ref="S43">_xlfn.XLOOKUP(C43,Insurance_Reimbursement_Matrix!$A$2:$A$6,_xlfn.XLOOKUP(_xlfn.XLOOKUP(F43,Age_Bracket_Reference!$A$2:$A$6,Age_Bracket_Reference!$B$2:$B$6,,-1),Insurance_Reimbursement_Matrix!$B$1:$F$1,Insurance_Reimbursement_Matrix!$B$2:$F$6))</f>
        <v>0.68</v>
      </c>
    </row>
    <row r="44" spans="1:19" x14ac:dyDescent="0.25">
      <c r="A44" s="2" t="s">
        <v>202</v>
      </c>
      <c r="B44" s="2" t="s">
        <v>203</v>
      </c>
      <c r="C44" s="2" t="s">
        <v>26</v>
      </c>
      <c r="D44" s="2" t="s">
        <v>150</v>
      </c>
      <c r="E44" s="2" t="s">
        <v>167</v>
      </c>
      <c r="F44" s="2">
        <v>82</v>
      </c>
      <c r="G44" s="2" t="s">
        <v>15</v>
      </c>
      <c r="H44" s="2" t="s">
        <v>204</v>
      </c>
      <c r="I44" s="18">
        <v>343968</v>
      </c>
      <c r="J44" s="2">
        <v>2</v>
      </c>
      <c r="K44" t="str">
        <f>_xlfn.IFNA(VLOOKUP(TRIM(E44),Doctor_Directory!$A$2:$D$31,2,FALSE),"No name")</f>
        <v>Dr. Hadiza Eze</v>
      </c>
      <c r="L44" t="str">
        <f>VLOOKUP(TRIM(D44),[1]Hospital_Details!$A$2:$D$16,2,FALSE)</f>
        <v>MC-KAN-01</v>
      </c>
      <c r="M44" t="str">
        <f>VLOOKUP(I44,Bill_Tier_Reference!$A$2:$B$5,2,TRUE)</f>
        <v>Tier 4 - Elite</v>
      </c>
      <c r="N44" t="str">
        <f>VLOOKUP(F44,Age_Bracket_Reference!$A$2:$B$6,2,TRUE)</f>
        <v>Senior</v>
      </c>
      <c r="O44" t="str">
        <f>VLOOKUP(C44,State_Coordinator!$A$2:$B$6,2,FALSE)</f>
        <v>Hauwa Mustapha</v>
      </c>
      <c r="P44" t="str">
        <f>VLOOKUP(L44,[2]Hospital_Details!$B$2:$D$16,3,FALSE)</f>
        <v>Silver</v>
      </c>
      <c r="Q44" t="str" cm="1">
        <f t="array" ref="Q44">_xlfn.IFS(ISNUMBER(SEARCH("TB", G44)),Protocol_Reference!$B$2, ISNUMBER(SEARCH("Malaria",G44)),Protocol_Reference!$B$3, ISNUMBER(SEARCH("Typhoid",G44)),Protocol_Reference!$B$4, ISNUMBER(SEARCH("Hypertension", G44,)),Protocol_Reference!$B$5, ISNUMBER(SEARCH("Diabetes", G44)),Protocol_Reference!$B$6, ISNUMBER(SEARCH("Cholera", G44)),Protocol_Reference!$B$7, ISNUMBER(SEARCH("Pneumonia", G44)),Protocol_Reference!$B$8, TRUE, "Out of scope/ Routine Care")</f>
        <v>Ciprofloxacin 500mg twice daily for 7-10 days</v>
      </c>
      <c r="R44" s="16">
        <f>IFERROR(VLOOKUP(E44,Doctor_Directory!$A$2:$D$31,4,FALSE),"Check Doctor Code")</f>
        <v>4500</v>
      </c>
      <c r="S44" s="6" cm="1">
        <f t="array" ref="S44">_xlfn.XLOOKUP(C44,Insurance_Reimbursement_Matrix!$A$2:$A$6,_xlfn.XLOOKUP(_xlfn.XLOOKUP(F44,Age_Bracket_Reference!$A$2:$A$6,Age_Bracket_Reference!$B$2:$B$6,,-1),Insurance_Reimbursement_Matrix!$B$1:$F$1,Insurance_Reimbursement_Matrix!$B$2:$F$6))</f>
        <v>0.76</v>
      </c>
    </row>
    <row r="45" spans="1:19" x14ac:dyDescent="0.25">
      <c r="A45" s="2" t="s">
        <v>205</v>
      </c>
      <c r="B45" s="2" t="s">
        <v>206</v>
      </c>
      <c r="C45" s="2" t="s">
        <v>44</v>
      </c>
      <c r="D45" s="2" t="s">
        <v>138</v>
      </c>
      <c r="E45" s="2" t="s">
        <v>120</v>
      </c>
      <c r="F45" s="2">
        <v>41</v>
      </c>
      <c r="G45" s="2" t="s">
        <v>151</v>
      </c>
      <c r="H45" s="2" t="s">
        <v>188</v>
      </c>
      <c r="I45" s="18">
        <v>29884</v>
      </c>
      <c r="J45" s="2">
        <v>12</v>
      </c>
      <c r="K45" t="str">
        <f>_xlfn.IFNA(VLOOKUP(TRIM(E45),Doctor_Directory!$A$2:$D$31,2,FALSE),"No name")</f>
        <v>Dr. Adaugo Fashola</v>
      </c>
      <c r="L45" t="str">
        <f>VLOOKUP(TRIM(D45),[1]Hospital_Details!$A$2:$D$16,2,FALSE)</f>
        <v>MC-ABJ-02</v>
      </c>
      <c r="M45" t="str">
        <f>VLOOKUP(I45,Bill_Tier_Reference!$A$2:$B$5,2,TRUE)</f>
        <v>Tier 2 - Standard</v>
      </c>
      <c r="N45" t="str">
        <f>VLOOKUP(F45,Age_Bracket_Reference!$A$2:$B$6,2,TRUE)</f>
        <v>Adult</v>
      </c>
      <c r="O45" t="str">
        <f>VLOOKUP(C45,State_Coordinator!$A$2:$B$6,2,FALSE)</f>
        <v>Ibrahim Garba</v>
      </c>
      <c r="P45" t="str">
        <f>VLOOKUP(L45,[2]Hospital_Details!$B$2:$D$16,3,FALSE)</f>
        <v>Silver</v>
      </c>
      <c r="Q45" t="str" cm="1">
        <f t="array" ref="Q45">_xlfn.IFS(ISNUMBER(SEARCH("TB", G45)),Protocol_Reference!$B$2, ISNUMBER(SEARCH("Malaria",G45)),Protocol_Reference!$B$3, ISNUMBER(SEARCH("Typhoid",G45)),Protocol_Reference!$B$4, ISNUMBER(SEARCH("Hypertension", G45,)),Protocol_Reference!$B$5, ISNUMBER(SEARCH("Diabetes", G45)),Protocol_Reference!$B$6, ISNUMBER(SEARCH("Cholera", G45)),Protocol_Reference!$B$7, ISNUMBER(SEARCH("Pneumonia", G45)),Protocol_Reference!$B$8, TRUE, "Out of scope/ Routine Care")</f>
        <v>Amoxicillin-Clavulanate 625mg three times daily for 7 days</v>
      </c>
      <c r="R45" s="16">
        <f>IFERROR(VLOOKUP(E45,Doctor_Directory!$A$2:$D$31,4,FALSE),"Check Doctor Code")</f>
        <v>4000</v>
      </c>
      <c r="S45" s="6" cm="1">
        <f t="array" ref="S45">_xlfn.XLOOKUP(C45,Insurance_Reimbursement_Matrix!$A$2:$A$6,_xlfn.XLOOKUP(_xlfn.XLOOKUP(F45,Age_Bracket_Reference!$A$2:$A$6,Age_Bracket_Reference!$B$2:$B$6,,-1),Insurance_Reimbursement_Matrix!$B$1:$F$1,Insurance_Reimbursement_Matrix!$B$2:$F$6))</f>
        <v>0.65</v>
      </c>
    </row>
    <row r="46" spans="1:19" x14ac:dyDescent="0.25">
      <c r="A46" s="2" t="s">
        <v>207</v>
      </c>
      <c r="B46" s="2" t="s">
        <v>208</v>
      </c>
      <c r="C46" s="2" t="s">
        <v>12</v>
      </c>
      <c r="D46" s="2" t="s">
        <v>33</v>
      </c>
      <c r="E46" s="2" t="s">
        <v>120</v>
      </c>
      <c r="F46" s="2">
        <v>70</v>
      </c>
      <c r="G46" s="2" t="s">
        <v>40</v>
      </c>
      <c r="H46" s="2" t="s">
        <v>209</v>
      </c>
      <c r="I46" s="18">
        <v>420276</v>
      </c>
      <c r="J46" s="2">
        <v>13</v>
      </c>
      <c r="K46" t="str">
        <f>_xlfn.IFNA(VLOOKUP(TRIM(E46),Doctor_Directory!$A$2:$D$31,2,FALSE),"No name")</f>
        <v>Dr. Adaugo Fashola</v>
      </c>
      <c r="L46" t="str">
        <f>VLOOKUP(TRIM(D46),[1]Hospital_Details!$A$2:$D$16,2,FALSE)</f>
        <v>MC-PHC-02</v>
      </c>
      <c r="M46" t="str">
        <f>VLOOKUP(I46,Bill_Tier_Reference!$A$2:$B$5,2,TRUE)</f>
        <v>Tier 4 - Elite</v>
      </c>
      <c r="N46" t="str">
        <f>VLOOKUP(F46,Age_Bracket_Reference!$A$2:$B$6,2,TRUE)</f>
        <v>Senior</v>
      </c>
      <c r="O46" t="str">
        <f>VLOOKUP(C46,State_Coordinator!$A$2:$B$6,2,FALSE)</f>
        <v>Ebiere Amadi</v>
      </c>
      <c r="P46" t="str">
        <f>VLOOKUP(L46,[2]Hospital_Details!$B$2:$D$16,3,FALSE)</f>
        <v>Platinum</v>
      </c>
      <c r="Q46" t="str" cm="1">
        <f t="array" ref="Q46">_xlfn.IFS(ISNUMBER(SEARCH("TB", G46)),Protocol_Reference!$B$2, ISNUMBER(SEARCH("Malaria",G46)),Protocol_Reference!$B$3, ISNUMBER(SEARCH("Typhoid",G46)),Protocol_Reference!$B$4, ISNUMBER(SEARCH("Hypertension", G46,)),Protocol_Reference!$B$5, ISNUMBER(SEARCH("Diabetes", G46)),Protocol_Reference!$B$6, ISNUMBER(SEARCH("Cholera", G46)),Protocol_Reference!$B$7, ISNUMBER(SEARCH("Pneumonia", G46)),Protocol_Reference!$B$8, TRUE, "Out of scope/ Routine Care")</f>
        <v>Oral Rehydration Therapy + Doxycycline</v>
      </c>
      <c r="R46" s="16">
        <f>IFERROR(VLOOKUP(E46,Doctor_Directory!$A$2:$D$31,4,FALSE),"Check Doctor Code")</f>
        <v>4000</v>
      </c>
      <c r="S46" s="6" cm="1">
        <f t="array" ref="S46">_xlfn.XLOOKUP(C46,Insurance_Reimbursement_Matrix!$A$2:$A$6,_xlfn.XLOOKUP(_xlfn.XLOOKUP(F46,Age_Bracket_Reference!$A$2:$A$6,Age_Bracket_Reference!$B$2:$B$6,,-1),Insurance_Reimbursement_Matrix!$B$1:$F$1,Insurance_Reimbursement_Matrix!$B$2:$F$6))</f>
        <v>0.79</v>
      </c>
    </row>
    <row r="47" spans="1:19" x14ac:dyDescent="0.25">
      <c r="A47" s="2" t="s">
        <v>210</v>
      </c>
      <c r="B47" s="2" t="s">
        <v>211</v>
      </c>
      <c r="C47" s="2" t="s">
        <v>37</v>
      </c>
      <c r="D47" s="2" t="s">
        <v>97</v>
      </c>
      <c r="E47" s="2" t="s">
        <v>187</v>
      </c>
      <c r="F47" s="2">
        <v>1</v>
      </c>
      <c r="G47" s="2" t="s">
        <v>22</v>
      </c>
      <c r="H47" s="2" t="s">
        <v>212</v>
      </c>
      <c r="I47" s="18">
        <v>315625</v>
      </c>
      <c r="J47" s="2">
        <v>4</v>
      </c>
      <c r="K47" t="str">
        <f>_xlfn.IFNA(VLOOKUP(TRIM(E47),Doctor_Directory!$A$2:$D$31,2,FALSE),"No name")</f>
        <v>Dr. Maryam Adeyemi</v>
      </c>
      <c r="L47" t="str">
        <f>VLOOKUP(TRIM(D47),[1]Hospital_Details!$A$2:$D$16,2,FALSE)</f>
        <v>MC-ENU-02</v>
      </c>
      <c r="M47" t="str">
        <f>VLOOKUP(I47,Bill_Tier_Reference!$A$2:$B$5,2,TRUE)</f>
        <v>Tier 4 - Elite</v>
      </c>
      <c r="N47" t="str">
        <f>VLOOKUP(F47,Age_Bracket_Reference!$A$2:$B$6,2,TRUE)</f>
        <v>Child</v>
      </c>
      <c r="O47" t="str">
        <f>VLOOKUP(C47,State_Coordinator!$A$2:$B$6,2,FALSE)</f>
        <v>Chidiebere Okoro</v>
      </c>
      <c r="P47" t="str">
        <f>VLOOKUP(L47,[2]Hospital_Details!$B$2:$D$16,3,FALSE)</f>
        <v>Bronze</v>
      </c>
      <c r="Q47" t="str" cm="1">
        <f t="array" ref="Q47">_xlfn.IFS(ISNUMBER(SEARCH("TB", G47)),Protocol_Reference!$B$2, ISNUMBER(SEARCH("Malaria",G47)),Protocol_Reference!$B$3, ISNUMBER(SEARCH("Typhoid",G47)),Protocol_Reference!$B$4, ISNUMBER(SEARCH("Hypertension", G47,)),Protocol_Reference!$B$5, ISNUMBER(SEARCH("Diabetes", G47)),Protocol_Reference!$B$6, ISNUMBER(SEARCH("Cholera", G47)),Protocol_Reference!$B$7, ISNUMBER(SEARCH("Pneumonia", G47)),Protocol_Reference!$B$8, TRUE, "Out of scope/ Routine Care")</f>
        <v>Out of scope/ Routine Care</v>
      </c>
      <c r="R47" s="16">
        <f>IFERROR(VLOOKUP(E47,Doctor_Directory!$A$2:$D$31,4,FALSE),"Check Doctor Code")</f>
        <v>8500</v>
      </c>
      <c r="S47" s="6" cm="1">
        <f t="array" ref="S47">_xlfn.XLOOKUP(C47,Insurance_Reimbursement_Matrix!$A$2:$A$6,_xlfn.XLOOKUP(_xlfn.XLOOKUP(F47,Age_Bracket_Reference!$A$2:$A$6,Age_Bracket_Reference!$B$2:$B$6,,-1),Insurance_Reimbursement_Matrix!$B$1:$F$1,Insurance_Reimbursement_Matrix!$B$2:$F$6))</f>
        <v>0.9</v>
      </c>
    </row>
    <row r="48" spans="1:19" x14ac:dyDescent="0.25">
      <c r="A48" s="2" t="s">
        <v>213</v>
      </c>
      <c r="B48" s="2" t="s">
        <v>214</v>
      </c>
      <c r="C48" s="2" t="s">
        <v>12</v>
      </c>
      <c r="D48" s="2" t="s">
        <v>13</v>
      </c>
      <c r="E48" s="2" t="s">
        <v>21</v>
      </c>
      <c r="F48" s="2">
        <v>44</v>
      </c>
      <c r="G48" s="2" t="s">
        <v>65</v>
      </c>
      <c r="H48" s="2" t="s">
        <v>171</v>
      </c>
      <c r="I48" s="18">
        <v>67459</v>
      </c>
      <c r="J48" s="2">
        <v>10</v>
      </c>
      <c r="K48" t="str">
        <f>_xlfn.IFNA(VLOOKUP(TRIM(E48),Doctor_Directory!$A$2:$D$31,2,FALSE),"No name")</f>
        <v>Dr. Amaka Nwosu</v>
      </c>
      <c r="L48" t="str">
        <f>VLOOKUP(TRIM(D48),[1]Hospital_Details!$A$2:$D$16,2,FALSE)</f>
        <v>MC-PHC-01</v>
      </c>
      <c r="M48" t="str">
        <f>VLOOKUP(I48,Bill_Tier_Reference!$A$2:$B$5,2,TRUE)</f>
        <v>Tier 2 - Standard</v>
      </c>
      <c r="N48" t="str">
        <f>VLOOKUP(F48,Age_Bracket_Reference!$A$2:$B$6,2,TRUE)</f>
        <v>Adult</v>
      </c>
      <c r="O48" t="str">
        <f>VLOOKUP(C48,State_Coordinator!$A$2:$B$6,2,FALSE)</f>
        <v>Ebiere Amadi</v>
      </c>
      <c r="P48" t="str">
        <f>VLOOKUP(L48,[2]Hospital_Details!$B$2:$D$16,3,FALSE)</f>
        <v>Bronze</v>
      </c>
      <c r="Q48" t="str" cm="1">
        <f t="array" ref="Q48">_xlfn.IFS(ISNUMBER(SEARCH("TB", G48)),Protocol_Reference!$B$2, ISNUMBER(SEARCH("Malaria",G48)),Protocol_Reference!$B$3, ISNUMBER(SEARCH("Typhoid",G48)),Protocol_Reference!$B$4, ISNUMBER(SEARCH("Hypertension", G48,)),Protocol_Reference!$B$5, ISNUMBER(SEARCH("Diabetes", G48)),Protocol_Reference!$B$6, ISNUMBER(SEARCH("Cholera", G48)),Protocol_Reference!$B$7, ISNUMBER(SEARCH("Pneumonia", G48)),Protocol_Reference!$B$8, TRUE, "Out of scope/ Routine Care")</f>
        <v>Out of scope/ Routine Care</v>
      </c>
      <c r="R48" s="16">
        <f>IFERROR(VLOOKUP(E48,Doctor_Directory!$A$2:$D$31,4,FALSE),"Check Doctor Code")</f>
        <v>5500</v>
      </c>
      <c r="S48" s="6" cm="1">
        <f t="array" ref="S48">_xlfn.XLOOKUP(C48,Insurance_Reimbursement_Matrix!$A$2:$A$6,_xlfn.XLOOKUP(_xlfn.XLOOKUP(F48,Age_Bracket_Reference!$A$2:$A$6,Age_Bracket_Reference!$B$2:$B$6,,-1),Insurance_Reimbursement_Matrix!$B$1:$F$1,Insurance_Reimbursement_Matrix!$B$2:$F$6))</f>
        <v>0.71</v>
      </c>
    </row>
    <row r="49" spans="1:19" x14ac:dyDescent="0.25">
      <c r="A49" s="2" t="s">
        <v>215</v>
      </c>
      <c r="B49" s="2" t="s">
        <v>216</v>
      </c>
      <c r="C49" s="2" t="s">
        <v>12</v>
      </c>
      <c r="D49" s="2" t="s">
        <v>217</v>
      </c>
      <c r="E49" s="2" t="s">
        <v>218</v>
      </c>
      <c r="F49" s="2">
        <v>85</v>
      </c>
      <c r="G49" s="2" t="s">
        <v>219</v>
      </c>
      <c r="H49" s="2" t="s">
        <v>188</v>
      </c>
      <c r="I49" s="18">
        <v>28893</v>
      </c>
      <c r="J49" s="2">
        <v>1</v>
      </c>
      <c r="K49" t="str">
        <f>_xlfn.IFNA(VLOOKUP(TRIM(E49),Doctor_Directory!$A$2:$D$31,2,FALSE),"No name")</f>
        <v>Dr. Ronke Eze</v>
      </c>
      <c r="L49" t="str">
        <f>VLOOKUP(TRIM(D49),[1]Hospital_Details!$A$2:$D$16,2,FALSE)</f>
        <v>MC-PHC-03</v>
      </c>
      <c r="M49" t="str">
        <f>VLOOKUP(I49,Bill_Tier_Reference!$A$2:$B$5,2,TRUE)</f>
        <v>Tier 2 - Standard</v>
      </c>
      <c r="N49" t="str">
        <f>VLOOKUP(F49,Age_Bracket_Reference!$A$2:$B$6,2,TRUE)</f>
        <v>Senior</v>
      </c>
      <c r="O49" t="str">
        <f>VLOOKUP(C49,State_Coordinator!$A$2:$B$6,2,FALSE)</f>
        <v>Ebiere Amadi</v>
      </c>
      <c r="P49" t="str">
        <f>VLOOKUP(L49,[2]Hospital_Details!$B$2:$D$16,3,FALSE)</f>
        <v>Platinum</v>
      </c>
      <c r="Q49" t="str" cm="1">
        <f t="array" ref="Q49">_xlfn.IFS(ISNUMBER(SEARCH("TB", G49)),Protocol_Reference!$B$2, ISNUMBER(SEARCH("Malaria",G49)),Protocol_Reference!$B$3, ISNUMBER(SEARCH("Typhoid",G49)),Protocol_Reference!$B$4, ISNUMBER(SEARCH("Hypertension", G49,)),Protocol_Reference!$B$5, ISNUMBER(SEARCH("Diabetes", G49)),Protocol_Reference!$B$6, ISNUMBER(SEARCH("Cholera", G49)),Protocol_Reference!$B$7, ISNUMBER(SEARCH("Pneumonia", G49)),Protocol_Reference!$B$8, TRUE, "Out of scope/ Routine Care")</f>
        <v>Directly Observed Treatment Short-course (DOTS) - 6 month regimen</v>
      </c>
      <c r="R49" s="16">
        <f>IFERROR(VLOOKUP(E49,Doctor_Directory!$A$2:$D$31,4,FALSE),"Check Doctor Code")</f>
        <v>3500</v>
      </c>
      <c r="S49" s="6" cm="1">
        <f t="array" ref="S49">_xlfn.XLOOKUP(C49,Insurance_Reimbursement_Matrix!$A$2:$A$6,_xlfn.XLOOKUP(_xlfn.XLOOKUP(F49,Age_Bracket_Reference!$A$2:$A$6,Age_Bracket_Reference!$B$2:$B$6,,-1),Insurance_Reimbursement_Matrix!$B$1:$F$1,Insurance_Reimbursement_Matrix!$B$2:$F$6))</f>
        <v>0.79</v>
      </c>
    </row>
    <row r="50" spans="1:19" x14ac:dyDescent="0.25">
      <c r="A50" s="2" t="s">
        <v>220</v>
      </c>
      <c r="B50" s="2" t="s">
        <v>221</v>
      </c>
      <c r="C50" s="2" t="s">
        <v>26</v>
      </c>
      <c r="D50" s="2" t="s">
        <v>150</v>
      </c>
      <c r="E50" s="2" t="s">
        <v>14</v>
      </c>
      <c r="F50" s="2">
        <v>42</v>
      </c>
      <c r="G50" s="2" t="s">
        <v>89</v>
      </c>
      <c r="H50" s="2" t="s">
        <v>41</v>
      </c>
      <c r="I50" s="18">
        <v>199676</v>
      </c>
      <c r="J50" s="2">
        <v>14</v>
      </c>
      <c r="K50" t="str">
        <f>_xlfn.IFNA(VLOOKUP(TRIM(E50),Doctor_Directory!$A$2:$D$31,2,FALSE),"No name")</f>
        <v>Dr. Blessing Adekunle</v>
      </c>
      <c r="L50" t="str">
        <f>VLOOKUP(TRIM(D50),[1]Hospital_Details!$A$2:$D$16,2,FALSE)</f>
        <v>MC-KAN-01</v>
      </c>
      <c r="M50" t="str">
        <f>VLOOKUP(I50,Bill_Tier_Reference!$A$2:$B$5,2,TRUE)</f>
        <v>Tier 3 - Premium</v>
      </c>
      <c r="N50" t="str">
        <f>VLOOKUP(F50,Age_Bracket_Reference!$A$2:$B$6,2,TRUE)</f>
        <v>Adult</v>
      </c>
      <c r="O50" t="str">
        <f>VLOOKUP(C50,State_Coordinator!$A$2:$B$6,2,FALSE)</f>
        <v>Hauwa Mustapha</v>
      </c>
      <c r="P50" t="str">
        <f>VLOOKUP(L50,[2]Hospital_Details!$B$2:$D$16,3,FALSE)</f>
        <v>Silver</v>
      </c>
      <c r="Q50" t="str" cm="1">
        <f t="array" ref="Q50">_xlfn.IFS(ISNUMBER(SEARCH("TB", G50)),Protocol_Reference!$B$2, ISNUMBER(SEARCH("Malaria",G50)),Protocol_Reference!$B$3, ISNUMBER(SEARCH("Typhoid",G50)),Protocol_Reference!$B$4, ISNUMBER(SEARCH("Hypertension", G50,)),Protocol_Reference!$B$5, ISNUMBER(SEARCH("Diabetes", G50)),Protocol_Reference!$B$6, ISNUMBER(SEARCH("Cholera", G50)),Protocol_Reference!$B$7, ISNUMBER(SEARCH("Pneumonia", G50)),Protocol_Reference!$B$8, TRUE, "Out of scope/ Routine Care")</f>
        <v>Out of scope/ Routine Care</v>
      </c>
      <c r="R50" s="16">
        <f>IFERROR(VLOOKUP(E50,Doctor_Directory!$A$2:$D$31,4,FALSE),"Check Doctor Code")</f>
        <v>10000</v>
      </c>
      <c r="S50" s="6" cm="1">
        <f t="array" ref="S50">_xlfn.XLOOKUP(C50,Insurance_Reimbursement_Matrix!$A$2:$A$6,_xlfn.XLOOKUP(_xlfn.XLOOKUP(F50,Age_Bracket_Reference!$A$2:$A$6,Age_Bracket_Reference!$B$2:$B$6,,-1),Insurance_Reimbursement_Matrix!$B$1:$F$1,Insurance_Reimbursement_Matrix!$B$2:$F$6))</f>
        <v>0.73</v>
      </c>
    </row>
    <row r="51" spans="1:19" x14ac:dyDescent="0.25">
      <c r="A51" s="2" t="s">
        <v>222</v>
      </c>
      <c r="B51" s="2" t="s">
        <v>223</v>
      </c>
      <c r="C51" s="2" t="s">
        <v>19</v>
      </c>
      <c r="D51" s="2" t="s">
        <v>102</v>
      </c>
      <c r="E51" s="2" t="s">
        <v>64</v>
      </c>
      <c r="F51" s="2">
        <v>7</v>
      </c>
      <c r="G51" s="2" t="s">
        <v>22</v>
      </c>
      <c r="H51" s="2" t="s">
        <v>224</v>
      </c>
      <c r="I51" s="18">
        <v>5248</v>
      </c>
      <c r="J51" s="2">
        <v>4</v>
      </c>
      <c r="K51" t="str">
        <f>_xlfn.IFNA(VLOOKUP(TRIM(E51),Doctor_Directory!$A$2:$D$31,2,FALSE),"No name")</f>
        <v>Dr. Zainab Lawal</v>
      </c>
      <c r="L51" t="str">
        <f>VLOOKUP(TRIM(D51),[1]Hospital_Details!$A$2:$D$16,2,FALSE)</f>
        <v>MC-LAG-03</v>
      </c>
      <c r="M51" t="str">
        <f>VLOOKUP(I51,Bill_Tier_Reference!$A$2:$B$5,2,TRUE)</f>
        <v>Tier 1 - Basic</v>
      </c>
      <c r="N51" t="str">
        <f>VLOOKUP(F51,Age_Bracket_Reference!$A$2:$B$6,2,TRUE)</f>
        <v>Child</v>
      </c>
      <c r="O51" t="str">
        <f>VLOOKUP(C51,State_Coordinator!$A$2:$B$6,2,FALSE)</f>
        <v>Funmilayo Adebayo</v>
      </c>
      <c r="P51" t="str">
        <f>VLOOKUP(L51,[2]Hospital_Details!$B$2:$D$16,3,FALSE)</f>
        <v>Bronze</v>
      </c>
      <c r="Q51" t="str" cm="1">
        <f t="array" ref="Q51">_xlfn.IFS(ISNUMBER(SEARCH("TB", G51)),Protocol_Reference!$B$2, ISNUMBER(SEARCH("Malaria",G51)),Protocol_Reference!$B$3, ISNUMBER(SEARCH("Typhoid",G51)),Protocol_Reference!$B$4, ISNUMBER(SEARCH("Hypertension", G51,)),Protocol_Reference!$B$5, ISNUMBER(SEARCH("Diabetes", G51)),Protocol_Reference!$B$6, ISNUMBER(SEARCH("Cholera", G51)),Protocol_Reference!$B$7, ISNUMBER(SEARCH("Pneumonia", G51)),Protocol_Reference!$B$8, TRUE, "Out of scope/ Routine Care")</f>
        <v>Out of scope/ Routine Care</v>
      </c>
      <c r="R51" s="16">
        <f>IFERROR(VLOOKUP(E51,Doctor_Directory!$A$2:$D$31,4,FALSE),"Check Doctor Code")</f>
        <v>10000</v>
      </c>
      <c r="S51" s="6" cm="1">
        <f t="array" ref="S51">_xlfn.XLOOKUP(C51,Insurance_Reimbursement_Matrix!$A$2:$A$6,_xlfn.XLOOKUP(_xlfn.XLOOKUP(F51,Age_Bracket_Reference!$A$2:$A$6,Age_Bracket_Reference!$B$2:$B$6,,-1),Insurance_Reimbursement_Matrix!$B$1:$F$1,Insurance_Reimbursement_Matrix!$B$2:$F$6))</f>
        <v>0.83</v>
      </c>
    </row>
    <row r="52" spans="1:19" x14ac:dyDescent="0.25">
      <c r="A52" s="2" t="s">
        <v>225</v>
      </c>
      <c r="B52" s="2" t="s">
        <v>226</v>
      </c>
      <c r="C52" s="2" t="s">
        <v>37</v>
      </c>
      <c r="D52" s="2" t="s">
        <v>79</v>
      </c>
      <c r="E52" s="2" t="s">
        <v>39</v>
      </c>
      <c r="F52" s="2">
        <v>17</v>
      </c>
      <c r="G52" s="2" t="s">
        <v>111</v>
      </c>
      <c r="H52" s="2" t="s">
        <v>130</v>
      </c>
      <c r="I52" s="18">
        <v>314276</v>
      </c>
      <c r="J52" s="2">
        <v>12</v>
      </c>
      <c r="K52" t="str">
        <f>_xlfn.IFNA(VLOOKUP(TRIM(E52),Doctor_Directory!$A$2:$D$31,2,FALSE),"No name")</f>
        <v>Dr. Blessing Obi</v>
      </c>
      <c r="L52" t="str">
        <f>VLOOKUP(TRIM(D52),[1]Hospital_Details!$A$2:$D$16,2,FALSE)</f>
        <v>MC-ENU-01</v>
      </c>
      <c r="M52" t="str">
        <f>VLOOKUP(I52,Bill_Tier_Reference!$A$2:$B$5,2,TRUE)</f>
        <v>Tier 4 - Elite</v>
      </c>
      <c r="N52" t="str">
        <f>VLOOKUP(F52,Age_Bracket_Reference!$A$2:$B$6,2,TRUE)</f>
        <v>Teen</v>
      </c>
      <c r="O52" t="str">
        <f>VLOOKUP(C52,State_Coordinator!$A$2:$B$6,2,FALSE)</f>
        <v>Chidiebere Okoro</v>
      </c>
      <c r="P52" t="str">
        <f>VLOOKUP(L52,[2]Hospital_Details!$B$2:$D$16,3,FALSE)</f>
        <v>Gold</v>
      </c>
      <c r="Q52" t="str" cm="1">
        <f t="array" ref="Q52">_xlfn.IFS(ISNUMBER(SEARCH("TB", G52)),Protocol_Reference!$B$2, ISNUMBER(SEARCH("Malaria",G52)),Protocol_Reference!$B$3, ISNUMBER(SEARCH("Typhoid",G52)),Protocol_Reference!$B$4, ISNUMBER(SEARCH("Hypertension", G52,)),Protocol_Reference!$B$5, ISNUMBER(SEARCH("Diabetes", G52)),Protocol_Reference!$B$6, ISNUMBER(SEARCH("Cholera", G52)),Protocol_Reference!$B$7, ISNUMBER(SEARCH("Pneumonia", G52)),Protocol_Reference!$B$8, TRUE, "Out of scope/ Routine Care")</f>
        <v>Oral Rehydration Therapy + Doxycycline</v>
      </c>
      <c r="R52" s="16">
        <f>IFERROR(VLOOKUP(E52,Doctor_Directory!$A$2:$D$31,4,FALSE),"Check Doctor Code")</f>
        <v>3500</v>
      </c>
      <c r="S52" s="6" cm="1">
        <f t="array" ref="S52">_xlfn.XLOOKUP(C52,Insurance_Reimbursement_Matrix!$A$2:$A$6,_xlfn.XLOOKUP(_xlfn.XLOOKUP(F52,Age_Bracket_Reference!$A$2:$A$6,Age_Bracket_Reference!$B$2:$B$6,,-1),Insurance_Reimbursement_Matrix!$B$1:$F$1,Insurance_Reimbursement_Matrix!$B$2:$F$6))</f>
        <v>0.7</v>
      </c>
    </row>
    <row r="53" spans="1:19" x14ac:dyDescent="0.25">
      <c r="A53" s="2" t="s">
        <v>227</v>
      </c>
      <c r="B53" s="2" t="s">
        <v>228</v>
      </c>
      <c r="C53" s="2" t="s">
        <v>44</v>
      </c>
      <c r="D53" s="2" t="s">
        <v>186</v>
      </c>
      <c r="E53" s="2" t="s">
        <v>28</v>
      </c>
      <c r="F53" s="2">
        <v>15</v>
      </c>
      <c r="G53" s="2" t="s">
        <v>85</v>
      </c>
      <c r="H53" s="2" t="s">
        <v>34</v>
      </c>
      <c r="I53" s="18">
        <v>150849</v>
      </c>
      <c r="J53" s="2">
        <v>10</v>
      </c>
      <c r="K53" t="str">
        <f>_xlfn.IFNA(VLOOKUP(TRIM(E53),Doctor_Directory!$A$2:$D$31,2,FALSE),"No name")</f>
        <v>Dr. Ronke Nnaji</v>
      </c>
      <c r="L53" t="str">
        <f>VLOOKUP(TRIM(D53),[1]Hospital_Details!$A$2:$D$16,2,FALSE)</f>
        <v>MC-ABJ-03</v>
      </c>
      <c r="M53" t="str">
        <f>VLOOKUP(I53,Bill_Tier_Reference!$A$2:$B$5,2,TRUE)</f>
        <v>Tier 3 - Premium</v>
      </c>
      <c r="N53" t="str">
        <f>VLOOKUP(F53,Age_Bracket_Reference!$A$2:$B$6,2,TRUE)</f>
        <v>Teen</v>
      </c>
      <c r="O53" t="str">
        <f>VLOOKUP(C53,State_Coordinator!$A$2:$B$6,2,FALSE)</f>
        <v>Ibrahim Garba</v>
      </c>
      <c r="P53" t="str">
        <f>VLOOKUP(L53,[2]Hospital_Details!$B$2:$D$16,3,FALSE)</f>
        <v>Silver</v>
      </c>
      <c r="Q53" t="str" cm="1">
        <f t="array" ref="Q53">_xlfn.IFS(ISNUMBER(SEARCH("TB", G53)),Protocol_Reference!$B$2, ISNUMBER(SEARCH("Malaria",G53)),Protocol_Reference!$B$3, ISNUMBER(SEARCH("Typhoid",G53)),Protocol_Reference!$B$4, ISNUMBER(SEARCH("Hypertension", G53,)),Protocol_Reference!$B$5, ISNUMBER(SEARCH("Diabetes", G53)),Protocol_Reference!$B$6, ISNUMBER(SEARCH("Cholera", G53)),Protocol_Reference!$B$7, ISNUMBER(SEARCH("Pneumonia", G53)),Protocol_Reference!$B$8, TRUE, "Out of scope/ Routine Care")</f>
        <v>Artemisinin-based Combination Therapy (ACT) - 3-day course</v>
      </c>
      <c r="R53" s="16">
        <f>IFERROR(VLOOKUP(E53,Doctor_Directory!$A$2:$D$31,4,FALSE),"Check Doctor Code")</f>
        <v>4000</v>
      </c>
      <c r="S53" s="6" cm="1">
        <f t="array" ref="S53">_xlfn.XLOOKUP(C53,Insurance_Reimbursement_Matrix!$A$2:$A$6,_xlfn.XLOOKUP(_xlfn.XLOOKUP(F53,Age_Bracket_Reference!$A$2:$A$6,Age_Bracket_Reference!$B$2:$B$6,,-1),Insurance_Reimbursement_Matrix!$B$1:$F$1,Insurance_Reimbursement_Matrix!$B$2:$F$6))</f>
        <v>0.71</v>
      </c>
    </row>
    <row r="54" spans="1:19" x14ac:dyDescent="0.25">
      <c r="A54" s="2" t="s">
        <v>229</v>
      </c>
      <c r="B54" s="2" t="s">
        <v>230</v>
      </c>
      <c r="C54" s="2" t="s">
        <v>12</v>
      </c>
      <c r="D54" s="2" t="s">
        <v>217</v>
      </c>
      <c r="E54" s="2" t="s">
        <v>231</v>
      </c>
      <c r="F54" s="2">
        <v>10</v>
      </c>
      <c r="G54" s="2" t="s">
        <v>29</v>
      </c>
      <c r="H54" s="2" t="s">
        <v>86</v>
      </c>
      <c r="I54" s="18">
        <v>10957</v>
      </c>
      <c r="J54" s="2">
        <v>13</v>
      </c>
      <c r="K54" t="str">
        <f>_xlfn.IFNA(VLOOKUP(TRIM(E54),Doctor_Directory!$A$2:$D$31,2,FALSE),"No name")</f>
        <v>Dr. Bimpe Mohammed</v>
      </c>
      <c r="L54" t="str">
        <f>VLOOKUP(TRIM(D54),[1]Hospital_Details!$A$2:$D$16,2,FALSE)</f>
        <v>MC-PHC-03</v>
      </c>
      <c r="M54" t="str">
        <f>VLOOKUP(I54,Bill_Tier_Reference!$A$2:$B$5,2,TRUE)</f>
        <v>Tier 1 - Basic</v>
      </c>
      <c r="N54" t="str">
        <f>VLOOKUP(F54,Age_Bracket_Reference!$A$2:$B$6,2,TRUE)</f>
        <v>Child</v>
      </c>
      <c r="O54" t="str">
        <f>VLOOKUP(C54,State_Coordinator!$A$2:$B$6,2,FALSE)</f>
        <v>Ebiere Amadi</v>
      </c>
      <c r="P54" t="str">
        <f>VLOOKUP(L54,[2]Hospital_Details!$B$2:$D$16,3,FALSE)</f>
        <v>Platinum</v>
      </c>
      <c r="Q54" t="str" cm="1">
        <f t="array" ref="Q54">_xlfn.IFS(ISNUMBER(SEARCH("TB", G54)),Protocol_Reference!$B$2, ISNUMBER(SEARCH("Malaria",G54)),Protocol_Reference!$B$3, ISNUMBER(SEARCH("Typhoid",G54)),Protocol_Reference!$B$4, ISNUMBER(SEARCH("Hypertension", G54,)),Protocol_Reference!$B$5, ISNUMBER(SEARCH("Diabetes", G54)),Protocol_Reference!$B$6, ISNUMBER(SEARCH("Cholera", G54)),Protocol_Reference!$B$7, ISNUMBER(SEARCH("Pneumonia", G54)),Protocol_Reference!$B$8, TRUE, "Out of scope/ Routine Care")</f>
        <v>Artemisinin-based Combination Therapy (ACT) - 3-day course</v>
      </c>
      <c r="R54" s="16">
        <f>IFERROR(VLOOKUP(E54,Doctor_Directory!$A$2:$D$31,4,FALSE),"Check Doctor Code")</f>
        <v>4000</v>
      </c>
      <c r="S54" s="6" cm="1">
        <f t="array" ref="S54">_xlfn.XLOOKUP(C54,Insurance_Reimbursement_Matrix!$A$2:$A$6,_xlfn.XLOOKUP(_xlfn.XLOOKUP(F54,Age_Bracket_Reference!$A$2:$A$6,Age_Bracket_Reference!$B$2:$B$6,,-1),Insurance_Reimbursement_Matrix!$B$1:$F$1,Insurance_Reimbursement_Matrix!$B$2:$F$6))</f>
        <v>0.82</v>
      </c>
    </row>
    <row r="55" spans="1:19" x14ac:dyDescent="0.25">
      <c r="A55" s="2" t="s">
        <v>232</v>
      </c>
      <c r="B55" s="2" t="s">
        <v>233</v>
      </c>
      <c r="C55" s="2" t="s">
        <v>26</v>
      </c>
      <c r="D55" s="2" t="s">
        <v>27</v>
      </c>
      <c r="E55" s="2" t="s">
        <v>106</v>
      </c>
      <c r="F55" s="2">
        <v>85</v>
      </c>
      <c r="G55" s="2" t="s">
        <v>22</v>
      </c>
      <c r="H55" s="2" t="s">
        <v>234</v>
      </c>
      <c r="I55" s="18">
        <v>206633</v>
      </c>
      <c r="J55" s="2">
        <v>14</v>
      </c>
      <c r="K55" t="str">
        <f>_xlfn.IFNA(VLOOKUP(TRIM(E55),Doctor_Directory!$A$2:$D$31,2,FALSE),"No name")</f>
        <v>Dr. Oluwaseun Fashola</v>
      </c>
      <c r="L55" t="str">
        <f>VLOOKUP(TRIM(D55),[1]Hospital_Details!$A$2:$D$16,2,FALSE)</f>
        <v>MC-KAN-03</v>
      </c>
      <c r="M55" t="str">
        <f>VLOOKUP(I55,Bill_Tier_Reference!$A$2:$B$5,2,TRUE)</f>
        <v>Tier 4 - Elite</v>
      </c>
      <c r="N55" t="str">
        <f>VLOOKUP(F55,Age_Bracket_Reference!$A$2:$B$6,2,TRUE)</f>
        <v>Senior</v>
      </c>
      <c r="O55" t="str">
        <f>VLOOKUP(C55,State_Coordinator!$A$2:$B$6,2,FALSE)</f>
        <v>Hauwa Mustapha</v>
      </c>
      <c r="P55" t="str">
        <f>VLOOKUP(L55,[2]Hospital_Details!$B$2:$D$16,3,FALSE)</f>
        <v>Platinum</v>
      </c>
      <c r="Q55" t="str" cm="1">
        <f t="array" ref="Q55">_xlfn.IFS(ISNUMBER(SEARCH("TB", G55)),Protocol_Reference!$B$2, ISNUMBER(SEARCH("Malaria",G55)),Protocol_Reference!$B$3, ISNUMBER(SEARCH("Typhoid",G55)),Protocol_Reference!$B$4, ISNUMBER(SEARCH("Hypertension", G55,)),Protocol_Reference!$B$5, ISNUMBER(SEARCH("Diabetes", G55)),Protocol_Reference!$B$6, ISNUMBER(SEARCH("Cholera", G55)),Protocol_Reference!$B$7, ISNUMBER(SEARCH("Pneumonia", G55)),Protocol_Reference!$B$8, TRUE, "Out of scope/ Routine Care")</f>
        <v>Out of scope/ Routine Care</v>
      </c>
      <c r="R55" s="16">
        <f>IFERROR(VLOOKUP(E55,Doctor_Directory!$A$2:$D$31,4,FALSE),"Check Doctor Code")</f>
        <v>6000</v>
      </c>
      <c r="S55" s="6" cm="1">
        <f t="array" ref="S55">_xlfn.XLOOKUP(C55,Insurance_Reimbursement_Matrix!$A$2:$A$6,_xlfn.XLOOKUP(_xlfn.XLOOKUP(F55,Age_Bracket_Reference!$A$2:$A$6,Age_Bracket_Reference!$B$2:$B$6,,-1),Insurance_Reimbursement_Matrix!$B$1:$F$1,Insurance_Reimbursement_Matrix!$B$2:$F$6))</f>
        <v>0.76</v>
      </c>
    </row>
    <row r="56" spans="1:19" x14ac:dyDescent="0.25">
      <c r="A56" s="2" t="s">
        <v>235</v>
      </c>
      <c r="B56" s="2" t="s">
        <v>236</v>
      </c>
      <c r="C56" s="2" t="s">
        <v>12</v>
      </c>
      <c r="D56" s="2" t="s">
        <v>33</v>
      </c>
      <c r="E56" s="2" t="s">
        <v>103</v>
      </c>
      <c r="F56" s="2">
        <v>59</v>
      </c>
      <c r="G56" s="2" t="s">
        <v>117</v>
      </c>
      <c r="H56" s="2" t="s">
        <v>60</v>
      </c>
      <c r="I56" s="18">
        <v>171180</v>
      </c>
      <c r="J56" s="2">
        <v>10</v>
      </c>
      <c r="K56" t="str">
        <f>_xlfn.IFNA(VLOOKUP(TRIM(E56),Doctor_Directory!$A$2:$D$31,2,FALSE),"No name")</f>
        <v>Dr. Segun Ogundele</v>
      </c>
      <c r="L56" t="str">
        <f>VLOOKUP(TRIM(D56),[1]Hospital_Details!$A$2:$D$16,2,FALSE)</f>
        <v>MC-PHC-02</v>
      </c>
      <c r="M56" t="str">
        <f>VLOOKUP(I56,Bill_Tier_Reference!$A$2:$B$5,2,TRUE)</f>
        <v>Tier 3 - Premium</v>
      </c>
      <c r="N56" t="str">
        <f>VLOOKUP(F56,Age_Bracket_Reference!$A$2:$B$6,2,TRUE)</f>
        <v>Adult</v>
      </c>
      <c r="O56" t="str">
        <f>VLOOKUP(C56,State_Coordinator!$A$2:$B$6,2,FALSE)</f>
        <v>Ebiere Amadi</v>
      </c>
      <c r="P56" t="str">
        <f>VLOOKUP(L56,[2]Hospital_Details!$B$2:$D$16,3,FALSE)</f>
        <v>Platinum</v>
      </c>
      <c r="Q56" t="str" cm="1">
        <f t="array" ref="Q56">_xlfn.IFS(ISNUMBER(SEARCH("TB", G56)),Protocol_Reference!$B$2, ISNUMBER(SEARCH("Malaria",G56)),Protocol_Reference!$B$3, ISNUMBER(SEARCH("Typhoid",G56)),Protocol_Reference!$B$4, ISNUMBER(SEARCH("Hypertension", G56,)),Protocol_Reference!$B$5, ISNUMBER(SEARCH("Diabetes", G56)),Protocol_Reference!$B$6, ISNUMBER(SEARCH("Cholera", G56)),Protocol_Reference!$B$7, ISNUMBER(SEARCH("Pneumonia", G56)),Protocol_Reference!$B$8, TRUE, "Out of scope/ Routine Care")</f>
        <v>Out of scope/ Routine Care</v>
      </c>
      <c r="R56" s="16">
        <f>IFERROR(VLOOKUP(E56,Doctor_Directory!$A$2:$D$31,4,FALSE),"Check Doctor Code")</f>
        <v>5000</v>
      </c>
      <c r="S56" s="6" cm="1">
        <f t="array" ref="S56">_xlfn.XLOOKUP(C56,Insurance_Reimbursement_Matrix!$A$2:$A$6,_xlfn.XLOOKUP(_xlfn.XLOOKUP(F56,Age_Bracket_Reference!$A$2:$A$6,Age_Bracket_Reference!$B$2:$B$6,,-1),Insurance_Reimbursement_Matrix!$B$1:$F$1,Insurance_Reimbursement_Matrix!$B$2:$F$6))</f>
        <v>0.71</v>
      </c>
    </row>
    <row r="57" spans="1:19" x14ac:dyDescent="0.25">
      <c r="A57" s="2" t="s">
        <v>237</v>
      </c>
      <c r="B57" s="2" t="s">
        <v>238</v>
      </c>
      <c r="C57" s="2" t="s">
        <v>12</v>
      </c>
      <c r="D57" s="2" t="s">
        <v>33</v>
      </c>
      <c r="E57" s="2" t="s">
        <v>239</v>
      </c>
      <c r="F57" s="2">
        <v>42</v>
      </c>
      <c r="G57" s="2" t="s">
        <v>240</v>
      </c>
      <c r="H57" s="2" t="s">
        <v>241</v>
      </c>
      <c r="I57" s="18">
        <v>443641</v>
      </c>
      <c r="J57" s="2">
        <v>6</v>
      </c>
      <c r="K57" t="str">
        <f>_xlfn.IFNA(VLOOKUP(TRIM(E57),Doctor_Directory!$A$2:$D$31,2,FALSE),"No name")</f>
        <v>No name</v>
      </c>
      <c r="L57" t="str">
        <f>VLOOKUP(TRIM(D57),[1]Hospital_Details!$A$2:$D$16,2,FALSE)</f>
        <v>MC-PHC-02</v>
      </c>
      <c r="M57" t="str">
        <f>VLOOKUP(I57,Bill_Tier_Reference!$A$2:$B$5,2,TRUE)</f>
        <v>Tier 4 - Elite</v>
      </c>
      <c r="N57" t="str">
        <f>VLOOKUP(F57,Age_Bracket_Reference!$A$2:$B$6,2,TRUE)</f>
        <v>Adult</v>
      </c>
      <c r="O57" t="str">
        <f>VLOOKUP(C57,State_Coordinator!$A$2:$B$6,2,FALSE)</f>
        <v>Ebiere Amadi</v>
      </c>
      <c r="P57" t="str">
        <f>VLOOKUP(L57,[2]Hospital_Details!$B$2:$D$16,3,FALSE)</f>
        <v>Platinum</v>
      </c>
      <c r="Q57" t="str" cm="1">
        <f t="array" ref="Q57">_xlfn.IFS(ISNUMBER(SEARCH("TB", G57)),Protocol_Reference!$B$2, ISNUMBER(SEARCH("Malaria",G57)),Protocol_Reference!$B$3, ISNUMBER(SEARCH("Typhoid",G57)),Protocol_Reference!$B$4, ISNUMBER(SEARCH("Hypertension", G57,)),Protocol_Reference!$B$5, ISNUMBER(SEARCH("Diabetes", G57)),Protocol_Reference!$B$6, ISNUMBER(SEARCH("Cholera", G57)),Protocol_Reference!$B$7, ISNUMBER(SEARCH("Pneumonia", G57)),Protocol_Reference!$B$8, TRUE, "Out of scope/ Routine Care")</f>
        <v>Artemisinin-based Combination Therapy (ACT) - 3-day course</v>
      </c>
      <c r="R57" s="16" t="str">
        <f>IFERROR(VLOOKUP(E57,Doctor_Directory!$A$2:$D$31,4,FALSE),"Check Doctor Code")</f>
        <v>Check Doctor Code</v>
      </c>
      <c r="S57" s="6" cm="1">
        <f t="array" ref="S57">_xlfn.XLOOKUP(C57,Insurance_Reimbursement_Matrix!$A$2:$A$6,_xlfn.XLOOKUP(_xlfn.XLOOKUP(F57,Age_Bracket_Reference!$A$2:$A$6,Age_Bracket_Reference!$B$2:$B$6,,-1),Insurance_Reimbursement_Matrix!$B$1:$F$1,Insurance_Reimbursement_Matrix!$B$2:$F$6))</f>
        <v>0.71</v>
      </c>
    </row>
    <row r="58" spans="1:19" x14ac:dyDescent="0.25">
      <c r="A58" s="2" t="s">
        <v>242</v>
      </c>
      <c r="B58" s="2" t="s">
        <v>243</v>
      </c>
      <c r="C58" s="2" t="s">
        <v>26</v>
      </c>
      <c r="D58" s="2" t="s">
        <v>150</v>
      </c>
      <c r="E58" s="2" t="s">
        <v>187</v>
      </c>
      <c r="F58" s="2">
        <v>28</v>
      </c>
      <c r="G58" s="2" t="s">
        <v>22</v>
      </c>
      <c r="H58" s="2" t="s">
        <v>244</v>
      </c>
      <c r="I58" s="18">
        <v>14152</v>
      </c>
      <c r="J58" s="2">
        <v>9</v>
      </c>
      <c r="K58" t="str">
        <f>_xlfn.IFNA(VLOOKUP(TRIM(E58),Doctor_Directory!$A$2:$D$31,2,FALSE),"No name")</f>
        <v>Dr. Maryam Adeyemi</v>
      </c>
      <c r="L58" t="str">
        <f>VLOOKUP(TRIM(D58),[1]Hospital_Details!$A$2:$D$16,2,FALSE)</f>
        <v>MC-KAN-01</v>
      </c>
      <c r="M58" t="str">
        <f>VLOOKUP(I58,Bill_Tier_Reference!$A$2:$B$5,2,TRUE)</f>
        <v>Tier 1 - Basic</v>
      </c>
      <c r="N58" t="str">
        <f>VLOOKUP(F58,Age_Bracket_Reference!$A$2:$B$6,2,TRUE)</f>
        <v>Young Adult</v>
      </c>
      <c r="O58" t="str">
        <f>VLOOKUP(C58,State_Coordinator!$A$2:$B$6,2,FALSE)</f>
        <v>Hauwa Mustapha</v>
      </c>
      <c r="P58" t="str">
        <f>VLOOKUP(L58,[2]Hospital_Details!$B$2:$D$16,3,FALSE)</f>
        <v>Silver</v>
      </c>
      <c r="Q58" t="str" cm="1">
        <f t="array" ref="Q58">_xlfn.IFS(ISNUMBER(SEARCH("TB", G58)),Protocol_Reference!$B$2, ISNUMBER(SEARCH("Malaria",G58)),Protocol_Reference!$B$3, ISNUMBER(SEARCH("Typhoid",G58)),Protocol_Reference!$B$4, ISNUMBER(SEARCH("Hypertension", G58,)),Protocol_Reference!$B$5, ISNUMBER(SEARCH("Diabetes", G58)),Protocol_Reference!$B$6, ISNUMBER(SEARCH("Cholera", G58)),Protocol_Reference!$B$7, ISNUMBER(SEARCH("Pneumonia", G58)),Protocol_Reference!$B$8, TRUE, "Out of scope/ Routine Care")</f>
        <v>Out of scope/ Routine Care</v>
      </c>
      <c r="R58" s="16">
        <f>IFERROR(VLOOKUP(E58,Doctor_Directory!$A$2:$D$31,4,FALSE),"Check Doctor Code")</f>
        <v>8500</v>
      </c>
      <c r="S58" s="6" cm="1">
        <f t="array" ref="S58">_xlfn.XLOOKUP(C58,Insurance_Reimbursement_Matrix!$A$2:$A$6,_xlfn.XLOOKUP(_xlfn.XLOOKUP(F58,Age_Bracket_Reference!$A$2:$A$6,Age_Bracket_Reference!$B$2:$B$6,,-1),Insurance_Reimbursement_Matrix!$B$1:$F$1,Insurance_Reimbursement_Matrix!$B$2:$F$6))</f>
        <v>0.64</v>
      </c>
    </row>
    <row r="59" spans="1:19" x14ac:dyDescent="0.25">
      <c r="A59" s="2" t="s">
        <v>245</v>
      </c>
      <c r="B59" s="2" t="s">
        <v>246</v>
      </c>
      <c r="C59" s="2" t="s">
        <v>44</v>
      </c>
      <c r="D59" s="2" t="s">
        <v>247</v>
      </c>
      <c r="E59" s="2" t="s">
        <v>187</v>
      </c>
      <c r="F59" s="2">
        <v>72</v>
      </c>
      <c r="G59" s="2" t="s">
        <v>85</v>
      </c>
      <c r="H59" s="2" t="s">
        <v>125</v>
      </c>
      <c r="I59" s="18">
        <v>457331</v>
      </c>
      <c r="J59" s="2">
        <v>13</v>
      </c>
      <c r="K59" t="str">
        <f>_xlfn.IFNA(VLOOKUP(TRIM(E59),Doctor_Directory!$A$2:$D$31,2,FALSE),"No name")</f>
        <v>Dr. Maryam Adeyemi</v>
      </c>
      <c r="L59" t="str">
        <f>VLOOKUP(TRIM(D59),[1]Hospital_Details!$A$2:$D$16,2,FALSE)</f>
        <v>MC-ABJ-03</v>
      </c>
      <c r="M59" t="str">
        <f>VLOOKUP(I59,Bill_Tier_Reference!$A$2:$B$5,2,TRUE)</f>
        <v>Tier 4 - Elite</v>
      </c>
      <c r="N59" t="str">
        <f>VLOOKUP(F59,Age_Bracket_Reference!$A$2:$B$6,2,TRUE)</f>
        <v>Senior</v>
      </c>
      <c r="O59" t="str">
        <f>VLOOKUP(C59,State_Coordinator!$A$2:$B$6,2,FALSE)</f>
        <v>Ibrahim Garba</v>
      </c>
      <c r="P59" t="str">
        <f>VLOOKUP(L59,[2]Hospital_Details!$B$2:$D$16,3,FALSE)</f>
        <v>Silver</v>
      </c>
      <c r="Q59" t="str" cm="1">
        <f t="array" ref="Q59">_xlfn.IFS(ISNUMBER(SEARCH("TB", G59)),Protocol_Reference!$B$2, ISNUMBER(SEARCH("Malaria",G59)),Protocol_Reference!$B$3, ISNUMBER(SEARCH("Typhoid",G59)),Protocol_Reference!$B$4, ISNUMBER(SEARCH("Hypertension", G59,)),Protocol_Reference!$B$5, ISNUMBER(SEARCH("Diabetes", G59)),Protocol_Reference!$B$6, ISNUMBER(SEARCH("Cholera", G59)),Protocol_Reference!$B$7, ISNUMBER(SEARCH("Pneumonia", G59)),Protocol_Reference!$B$8, TRUE, "Out of scope/ Routine Care")</f>
        <v>Artemisinin-based Combination Therapy (ACT) - 3-day course</v>
      </c>
      <c r="R59" s="16">
        <f>IFERROR(VLOOKUP(E59,Doctor_Directory!$A$2:$D$31,4,FALSE),"Check Doctor Code")</f>
        <v>8500</v>
      </c>
      <c r="S59" s="6" cm="1">
        <f t="array" ref="S59">_xlfn.XLOOKUP(C59,Insurance_Reimbursement_Matrix!$A$2:$A$6,_xlfn.XLOOKUP(_xlfn.XLOOKUP(F59,Age_Bracket_Reference!$A$2:$A$6,Age_Bracket_Reference!$B$2:$B$6,,-1),Insurance_Reimbursement_Matrix!$B$1:$F$1,Insurance_Reimbursement_Matrix!$B$2:$F$6))</f>
        <v>0.79</v>
      </c>
    </row>
    <row r="60" spans="1:19" x14ac:dyDescent="0.25">
      <c r="A60" s="2" t="s">
        <v>248</v>
      </c>
      <c r="B60" s="2" t="s">
        <v>249</v>
      </c>
      <c r="C60" s="2" t="s">
        <v>26</v>
      </c>
      <c r="D60" s="2" t="s">
        <v>150</v>
      </c>
      <c r="E60" s="2" t="s">
        <v>21</v>
      </c>
      <c r="F60" s="2">
        <v>89</v>
      </c>
      <c r="G60" s="2" t="s">
        <v>240</v>
      </c>
      <c r="H60" s="2" t="s">
        <v>168</v>
      </c>
      <c r="I60" s="18">
        <v>147544</v>
      </c>
      <c r="J60" s="2">
        <v>7</v>
      </c>
      <c r="K60" t="str">
        <f>_xlfn.IFNA(VLOOKUP(TRIM(E60),Doctor_Directory!$A$2:$D$31,2,FALSE),"No name")</f>
        <v>Dr. Amaka Nwosu</v>
      </c>
      <c r="L60" t="str">
        <f>VLOOKUP(TRIM(D60),[1]Hospital_Details!$A$2:$D$16,2,FALSE)</f>
        <v>MC-KAN-01</v>
      </c>
      <c r="M60" t="str">
        <f>VLOOKUP(I60,Bill_Tier_Reference!$A$2:$B$5,2,TRUE)</f>
        <v>Tier 3 - Premium</v>
      </c>
      <c r="N60" t="str">
        <f>VLOOKUP(F60,Age_Bracket_Reference!$A$2:$B$6,2,TRUE)</f>
        <v>Senior</v>
      </c>
      <c r="O60" t="str">
        <f>VLOOKUP(C60,State_Coordinator!$A$2:$B$6,2,FALSE)</f>
        <v>Hauwa Mustapha</v>
      </c>
      <c r="P60" t="str">
        <f>VLOOKUP(L60,[2]Hospital_Details!$B$2:$D$16,3,FALSE)</f>
        <v>Silver</v>
      </c>
      <c r="Q60" t="str" cm="1">
        <f t="array" ref="Q60">_xlfn.IFS(ISNUMBER(SEARCH("TB", G60)),Protocol_Reference!$B$2, ISNUMBER(SEARCH("Malaria",G60)),Protocol_Reference!$B$3, ISNUMBER(SEARCH("Typhoid",G60)),Protocol_Reference!$B$4, ISNUMBER(SEARCH("Hypertension", G60,)),Protocol_Reference!$B$5, ISNUMBER(SEARCH("Diabetes", G60)),Protocol_Reference!$B$6, ISNUMBER(SEARCH("Cholera", G60)),Protocol_Reference!$B$7, ISNUMBER(SEARCH("Pneumonia", G60)),Protocol_Reference!$B$8, TRUE, "Out of scope/ Routine Care")</f>
        <v>Artemisinin-based Combination Therapy (ACT) - 3-day course</v>
      </c>
      <c r="R60" s="16">
        <f>IFERROR(VLOOKUP(E60,Doctor_Directory!$A$2:$D$31,4,FALSE),"Check Doctor Code")</f>
        <v>5500</v>
      </c>
      <c r="S60" s="6" cm="1">
        <f t="array" ref="S60">_xlfn.XLOOKUP(C60,Insurance_Reimbursement_Matrix!$A$2:$A$6,_xlfn.XLOOKUP(_xlfn.XLOOKUP(F60,Age_Bracket_Reference!$A$2:$A$6,Age_Bracket_Reference!$B$2:$B$6,,-1),Insurance_Reimbursement_Matrix!$B$1:$F$1,Insurance_Reimbursement_Matrix!$B$2:$F$6))</f>
        <v>0.76</v>
      </c>
    </row>
    <row r="61" spans="1:19" x14ac:dyDescent="0.25">
      <c r="A61" s="2" t="s">
        <v>250</v>
      </c>
      <c r="B61" s="2" t="s">
        <v>251</v>
      </c>
      <c r="C61" s="2" t="s">
        <v>26</v>
      </c>
      <c r="D61" s="2" t="s">
        <v>115</v>
      </c>
      <c r="E61" s="2" t="s">
        <v>252</v>
      </c>
      <c r="F61" s="2">
        <v>35</v>
      </c>
      <c r="G61" s="2" t="s">
        <v>253</v>
      </c>
      <c r="H61" s="2" t="s">
        <v>254</v>
      </c>
      <c r="I61" s="18">
        <v>169540</v>
      </c>
      <c r="J61" s="2">
        <v>2</v>
      </c>
      <c r="K61" t="str">
        <f>_xlfn.IFNA(VLOOKUP(TRIM(E61),Doctor_Directory!$A$2:$D$31,2,FALSE),"No name")</f>
        <v>No name</v>
      </c>
      <c r="L61" t="str">
        <f>VLOOKUP(TRIM(D61),[1]Hospital_Details!$A$2:$D$16,2,FALSE)</f>
        <v>MC-KAN-02</v>
      </c>
      <c r="M61" t="str">
        <f>VLOOKUP(I61,Bill_Tier_Reference!$A$2:$B$5,2,TRUE)</f>
        <v>Tier 3 - Premium</v>
      </c>
      <c r="N61" t="str">
        <f>VLOOKUP(F61,Age_Bracket_Reference!$A$2:$B$6,2,TRUE)</f>
        <v>Adult</v>
      </c>
      <c r="O61" t="str">
        <f>VLOOKUP(C61,State_Coordinator!$A$2:$B$6,2,FALSE)</f>
        <v>Hauwa Mustapha</v>
      </c>
      <c r="P61" t="str">
        <f>VLOOKUP(L61,[2]Hospital_Details!$B$2:$D$16,3,FALSE)</f>
        <v>Bronze</v>
      </c>
      <c r="Q61" t="str" cm="1">
        <f t="array" ref="Q61">_xlfn.IFS(ISNUMBER(SEARCH("TB", G61)),Protocol_Reference!$B$2, ISNUMBER(SEARCH("Malaria",G61)),Protocol_Reference!$B$3, ISNUMBER(SEARCH("Typhoid",G61)),Protocol_Reference!$B$4, ISNUMBER(SEARCH("Hypertension", G61,)),Protocol_Reference!$B$5, ISNUMBER(SEARCH("Diabetes", G61)),Protocol_Reference!$B$6, ISNUMBER(SEARCH("Cholera", G61)),Protocol_Reference!$B$7, ISNUMBER(SEARCH("Pneumonia", G61)),Protocol_Reference!$B$8, TRUE, "Out of scope/ Routine Care")</f>
        <v>Artemisinin-based Combination Therapy (ACT) - 3-day course</v>
      </c>
      <c r="R61" s="16" t="str">
        <f>IFERROR(VLOOKUP(E61,Doctor_Directory!$A$2:$D$31,4,FALSE),"Check Doctor Code")</f>
        <v>Check Doctor Code</v>
      </c>
      <c r="S61" s="6" cm="1">
        <f t="array" ref="S61">_xlfn.XLOOKUP(C61,Insurance_Reimbursement_Matrix!$A$2:$A$6,_xlfn.XLOOKUP(_xlfn.XLOOKUP(F61,Age_Bracket_Reference!$A$2:$A$6,Age_Bracket_Reference!$B$2:$B$6,,-1),Insurance_Reimbursement_Matrix!$B$1:$F$1,Insurance_Reimbursement_Matrix!$B$2:$F$6))</f>
        <v>0.73</v>
      </c>
    </row>
    <row r="62" spans="1:19" x14ac:dyDescent="0.25">
      <c r="A62" s="2" t="s">
        <v>255</v>
      </c>
      <c r="B62" s="2" t="s">
        <v>256</v>
      </c>
      <c r="C62" s="2" t="s">
        <v>44</v>
      </c>
      <c r="D62" s="2" t="s">
        <v>45</v>
      </c>
      <c r="E62" s="2" t="s">
        <v>231</v>
      </c>
      <c r="F62" s="2">
        <v>62</v>
      </c>
      <c r="G62" s="2" t="s">
        <v>15</v>
      </c>
      <c r="H62" s="2" t="s">
        <v>257</v>
      </c>
      <c r="I62" s="18">
        <v>184134</v>
      </c>
      <c r="J62" s="2">
        <v>4</v>
      </c>
      <c r="K62" t="str">
        <f>_xlfn.IFNA(VLOOKUP(TRIM(E62),Doctor_Directory!$A$2:$D$31,2,FALSE),"No name")</f>
        <v>Dr. Bimpe Mohammed</v>
      </c>
      <c r="L62" t="str">
        <f>VLOOKUP(TRIM(D62),[1]Hospital_Details!$A$2:$D$16,2,FALSE)</f>
        <v>MC-ABJ-01</v>
      </c>
      <c r="M62" t="str">
        <f>VLOOKUP(I62,Bill_Tier_Reference!$A$2:$B$5,2,TRUE)</f>
        <v>Tier 3 - Premium</v>
      </c>
      <c r="N62" t="str">
        <f>VLOOKUP(F62,Age_Bracket_Reference!$A$2:$B$6,2,TRUE)</f>
        <v>Senior</v>
      </c>
      <c r="O62" t="str">
        <f>VLOOKUP(C62,State_Coordinator!$A$2:$B$6,2,FALSE)</f>
        <v>Ibrahim Garba</v>
      </c>
      <c r="P62" t="str">
        <f>VLOOKUP(L62,[2]Hospital_Details!$B$2:$D$16,3,FALSE)</f>
        <v>Platinum</v>
      </c>
      <c r="Q62" t="str" cm="1">
        <f t="array" ref="Q62">_xlfn.IFS(ISNUMBER(SEARCH("TB", G62)),Protocol_Reference!$B$2, ISNUMBER(SEARCH("Malaria",G62)),Protocol_Reference!$B$3, ISNUMBER(SEARCH("Typhoid",G62)),Protocol_Reference!$B$4, ISNUMBER(SEARCH("Hypertension", G62,)),Protocol_Reference!$B$5, ISNUMBER(SEARCH("Diabetes", G62)),Protocol_Reference!$B$6, ISNUMBER(SEARCH("Cholera", G62)),Protocol_Reference!$B$7, ISNUMBER(SEARCH("Pneumonia", G62)),Protocol_Reference!$B$8, TRUE, "Out of scope/ Routine Care")</f>
        <v>Ciprofloxacin 500mg twice daily for 7-10 days</v>
      </c>
      <c r="R62" s="16">
        <f>IFERROR(VLOOKUP(E62,Doctor_Directory!$A$2:$D$31,4,FALSE),"Check Doctor Code")</f>
        <v>4000</v>
      </c>
      <c r="S62" s="6" cm="1">
        <f t="array" ref="S62">_xlfn.XLOOKUP(C62,Insurance_Reimbursement_Matrix!$A$2:$A$6,_xlfn.XLOOKUP(_xlfn.XLOOKUP(F62,Age_Bracket_Reference!$A$2:$A$6,Age_Bracket_Reference!$B$2:$B$6,,-1),Insurance_Reimbursement_Matrix!$B$1:$F$1,Insurance_Reimbursement_Matrix!$B$2:$F$6))</f>
        <v>0.79</v>
      </c>
    </row>
    <row r="63" spans="1:19" x14ac:dyDescent="0.25">
      <c r="A63" s="2" t="s">
        <v>258</v>
      </c>
      <c r="B63" s="2" t="s">
        <v>259</v>
      </c>
      <c r="C63" s="2" t="s">
        <v>26</v>
      </c>
      <c r="D63" s="2" t="s">
        <v>150</v>
      </c>
      <c r="E63" s="2" t="s">
        <v>195</v>
      </c>
      <c r="F63" s="2">
        <v>69</v>
      </c>
      <c r="G63" s="2" t="s">
        <v>191</v>
      </c>
      <c r="H63" s="2" t="s">
        <v>260</v>
      </c>
      <c r="I63" s="18">
        <v>23573</v>
      </c>
      <c r="J63" s="2">
        <v>11</v>
      </c>
      <c r="K63" t="str">
        <f>_xlfn.IFNA(VLOOKUP(TRIM(E63),Doctor_Directory!$A$2:$D$31,2,FALSE),"No name")</f>
        <v>Dr. Oluwaseun Ogunleye</v>
      </c>
      <c r="L63" t="str">
        <f>VLOOKUP(TRIM(D63),[1]Hospital_Details!$A$2:$D$16,2,FALSE)</f>
        <v>MC-KAN-01</v>
      </c>
      <c r="M63" t="str">
        <f>VLOOKUP(I63,Bill_Tier_Reference!$A$2:$B$5,2,TRUE)</f>
        <v>Tier 2 - Standard</v>
      </c>
      <c r="N63" t="str">
        <f>VLOOKUP(F63,Age_Bracket_Reference!$A$2:$B$6,2,TRUE)</f>
        <v>Senior</v>
      </c>
      <c r="O63" t="str">
        <f>VLOOKUP(C63,State_Coordinator!$A$2:$B$6,2,FALSE)</f>
        <v>Hauwa Mustapha</v>
      </c>
      <c r="P63" t="str">
        <f>VLOOKUP(L63,[2]Hospital_Details!$B$2:$D$16,3,FALSE)</f>
        <v>Silver</v>
      </c>
      <c r="Q63" t="str" cm="1">
        <f t="array" ref="Q63">_xlfn.IFS(ISNUMBER(SEARCH("TB", G63)),Protocol_Reference!$B$2, ISNUMBER(SEARCH("Malaria",G63)),Protocol_Reference!$B$3, ISNUMBER(SEARCH("Typhoid",G63)),Protocol_Reference!$B$4, ISNUMBER(SEARCH("Hypertension", G63,)),Protocol_Reference!$B$5, ISNUMBER(SEARCH("Diabetes", G63)),Protocol_Reference!$B$6, ISNUMBER(SEARCH("Cholera", G63)),Protocol_Reference!$B$7, ISNUMBER(SEARCH("Pneumonia", G63)),Protocol_Reference!$B$8, TRUE, "Out of scope/ Routine Care")</f>
        <v>Directly Observed Treatment Short-course (DOTS) - 6 month regimen</v>
      </c>
      <c r="R63" s="16">
        <f>IFERROR(VLOOKUP(E63,Doctor_Directory!$A$2:$D$31,4,FALSE),"Check Doctor Code")</f>
        <v>4500</v>
      </c>
      <c r="S63" s="6" cm="1">
        <f t="array" ref="S63">_xlfn.XLOOKUP(C63,Insurance_Reimbursement_Matrix!$A$2:$A$6,_xlfn.XLOOKUP(_xlfn.XLOOKUP(F63,Age_Bracket_Reference!$A$2:$A$6,Age_Bracket_Reference!$B$2:$B$6,,-1),Insurance_Reimbursement_Matrix!$B$1:$F$1,Insurance_Reimbursement_Matrix!$B$2:$F$6))</f>
        <v>0.76</v>
      </c>
    </row>
    <row r="64" spans="1:19" x14ac:dyDescent="0.25">
      <c r="A64" s="2" t="s">
        <v>261</v>
      </c>
      <c r="B64" s="2" t="s">
        <v>262</v>
      </c>
      <c r="C64" s="2" t="s">
        <v>19</v>
      </c>
      <c r="D64" s="2" t="s">
        <v>263</v>
      </c>
      <c r="E64" s="2" t="s">
        <v>116</v>
      </c>
      <c r="F64" s="2">
        <v>61</v>
      </c>
      <c r="G64" s="2" t="s">
        <v>111</v>
      </c>
      <c r="H64" s="2" t="s">
        <v>264</v>
      </c>
      <c r="I64" s="18">
        <v>332371</v>
      </c>
      <c r="J64" s="2">
        <v>2</v>
      </c>
      <c r="K64" t="str">
        <f>_xlfn.IFNA(VLOOKUP(TRIM(E64),Doctor_Directory!$A$2:$D$31,2,FALSE),"No name")</f>
        <v>Dr. Tunde Usman</v>
      </c>
      <c r="L64" t="str">
        <f>VLOOKUP(TRIM(D64),[1]Hospital_Details!$A$2:$D$16,2,FALSE)</f>
        <v>MC-LAG-01</v>
      </c>
      <c r="M64" t="str">
        <f>VLOOKUP(I64,Bill_Tier_Reference!$A$2:$B$5,2,TRUE)</f>
        <v>Tier 4 - Elite</v>
      </c>
      <c r="N64" t="str">
        <f>VLOOKUP(F64,Age_Bracket_Reference!$A$2:$B$6,2,TRUE)</f>
        <v>Senior</v>
      </c>
      <c r="O64" t="str">
        <f>VLOOKUP(C64,State_Coordinator!$A$2:$B$6,2,FALSE)</f>
        <v>Funmilayo Adebayo</v>
      </c>
      <c r="P64" t="str">
        <f>VLOOKUP(L64,[2]Hospital_Details!$B$2:$D$16,3,FALSE)</f>
        <v>Platinum</v>
      </c>
      <c r="Q64" t="str" cm="1">
        <f t="array" ref="Q64">_xlfn.IFS(ISNUMBER(SEARCH("TB", G64)),Protocol_Reference!$B$2, ISNUMBER(SEARCH("Malaria",G64)),Protocol_Reference!$B$3, ISNUMBER(SEARCH("Typhoid",G64)),Protocol_Reference!$B$4, ISNUMBER(SEARCH("Hypertension", G64,)),Protocol_Reference!$B$5, ISNUMBER(SEARCH("Diabetes", G64)),Protocol_Reference!$B$6, ISNUMBER(SEARCH("Cholera", G64)),Protocol_Reference!$B$7, ISNUMBER(SEARCH("Pneumonia", G64)),Protocol_Reference!$B$8, TRUE, "Out of scope/ Routine Care")</f>
        <v>Oral Rehydration Therapy + Doxycycline</v>
      </c>
      <c r="R64" s="16">
        <f>IFERROR(VLOOKUP(E64,Doctor_Directory!$A$2:$D$31,4,FALSE),"Check Doctor Code")</f>
        <v>10000</v>
      </c>
      <c r="S64" s="6" cm="1">
        <f t="array" ref="S64">_xlfn.XLOOKUP(C64,Insurance_Reimbursement_Matrix!$A$2:$A$6,_xlfn.XLOOKUP(_xlfn.XLOOKUP(F64,Age_Bracket_Reference!$A$2:$A$6,Age_Bracket_Reference!$B$2:$B$6,,-1),Insurance_Reimbursement_Matrix!$B$1:$F$1,Insurance_Reimbursement_Matrix!$B$2:$F$6))</f>
        <v>0.8</v>
      </c>
    </row>
    <row r="65" spans="1:19" x14ac:dyDescent="0.25">
      <c r="A65" s="2" t="s">
        <v>265</v>
      </c>
      <c r="B65" s="2" t="s">
        <v>266</v>
      </c>
      <c r="C65" s="2" t="s">
        <v>12</v>
      </c>
      <c r="D65" s="2" t="s">
        <v>13</v>
      </c>
      <c r="E65" s="2" t="s">
        <v>218</v>
      </c>
      <c r="F65" s="2">
        <v>81</v>
      </c>
      <c r="G65" s="2" t="s">
        <v>65</v>
      </c>
      <c r="H65" s="2" t="s">
        <v>267</v>
      </c>
      <c r="I65" s="18">
        <v>7971</v>
      </c>
      <c r="J65" s="2">
        <v>4</v>
      </c>
      <c r="K65" t="str">
        <f>_xlfn.IFNA(VLOOKUP(TRIM(E65),Doctor_Directory!$A$2:$D$31,2,FALSE),"No name")</f>
        <v>Dr. Ronke Eze</v>
      </c>
      <c r="L65" t="str">
        <f>VLOOKUP(TRIM(D65),[1]Hospital_Details!$A$2:$D$16,2,FALSE)</f>
        <v>MC-PHC-01</v>
      </c>
      <c r="M65" t="str">
        <f>VLOOKUP(I65,Bill_Tier_Reference!$A$2:$B$5,2,TRUE)</f>
        <v>Tier 1 - Basic</v>
      </c>
      <c r="N65" t="str">
        <f>VLOOKUP(F65,Age_Bracket_Reference!$A$2:$B$6,2,TRUE)</f>
        <v>Senior</v>
      </c>
      <c r="O65" t="str">
        <f>VLOOKUP(C65,State_Coordinator!$A$2:$B$6,2,FALSE)</f>
        <v>Ebiere Amadi</v>
      </c>
      <c r="P65" t="str">
        <f>VLOOKUP(L65,[2]Hospital_Details!$B$2:$D$16,3,FALSE)</f>
        <v>Bronze</v>
      </c>
      <c r="Q65" t="str" cm="1">
        <f t="array" ref="Q65">_xlfn.IFS(ISNUMBER(SEARCH("TB", G65)),Protocol_Reference!$B$2, ISNUMBER(SEARCH("Malaria",G65)),Protocol_Reference!$B$3, ISNUMBER(SEARCH("Typhoid",G65)),Protocol_Reference!$B$4, ISNUMBER(SEARCH("Hypertension", G65,)),Protocol_Reference!$B$5, ISNUMBER(SEARCH("Diabetes", G65)),Protocol_Reference!$B$6, ISNUMBER(SEARCH("Cholera", G65)),Protocol_Reference!$B$7, ISNUMBER(SEARCH("Pneumonia", G65)),Protocol_Reference!$B$8, TRUE, "Out of scope/ Routine Care")</f>
        <v>Out of scope/ Routine Care</v>
      </c>
      <c r="R65" s="16">
        <f>IFERROR(VLOOKUP(E65,Doctor_Directory!$A$2:$D$31,4,FALSE),"Check Doctor Code")</f>
        <v>3500</v>
      </c>
      <c r="S65" s="6" cm="1">
        <f t="array" ref="S65">_xlfn.XLOOKUP(C65,Insurance_Reimbursement_Matrix!$A$2:$A$6,_xlfn.XLOOKUP(_xlfn.XLOOKUP(F65,Age_Bracket_Reference!$A$2:$A$6,Age_Bracket_Reference!$B$2:$B$6,,-1),Insurance_Reimbursement_Matrix!$B$1:$F$1,Insurance_Reimbursement_Matrix!$B$2:$F$6))</f>
        <v>0.79</v>
      </c>
    </row>
    <row r="66" spans="1:19" x14ac:dyDescent="0.25">
      <c r="A66" s="2" t="s">
        <v>268</v>
      </c>
      <c r="B66" s="2" t="s">
        <v>269</v>
      </c>
      <c r="C66" s="2" t="s">
        <v>12</v>
      </c>
      <c r="D66" s="2" t="s">
        <v>217</v>
      </c>
      <c r="E66" s="2" t="s">
        <v>28</v>
      </c>
      <c r="F66" s="2">
        <v>80</v>
      </c>
      <c r="G66" s="2" t="s">
        <v>240</v>
      </c>
      <c r="H66" s="2" t="s">
        <v>204</v>
      </c>
      <c r="I66" s="18">
        <v>194079</v>
      </c>
      <c r="J66" s="2">
        <v>14</v>
      </c>
      <c r="K66" t="str">
        <f>_xlfn.IFNA(VLOOKUP(TRIM(E66),Doctor_Directory!$A$2:$D$31,2,FALSE),"No name")</f>
        <v>Dr. Ronke Nnaji</v>
      </c>
      <c r="L66" t="str">
        <f>VLOOKUP(TRIM(D66),[1]Hospital_Details!$A$2:$D$16,2,FALSE)</f>
        <v>MC-PHC-03</v>
      </c>
      <c r="M66" t="str">
        <f>VLOOKUP(I66,Bill_Tier_Reference!$A$2:$B$5,2,TRUE)</f>
        <v>Tier 3 - Premium</v>
      </c>
      <c r="N66" t="str">
        <f>VLOOKUP(F66,Age_Bracket_Reference!$A$2:$B$6,2,TRUE)</f>
        <v>Senior</v>
      </c>
      <c r="O66" t="str">
        <f>VLOOKUP(C66,State_Coordinator!$A$2:$B$6,2,FALSE)</f>
        <v>Ebiere Amadi</v>
      </c>
      <c r="P66" t="str">
        <f>VLOOKUP(L66,[2]Hospital_Details!$B$2:$D$16,3,FALSE)</f>
        <v>Platinum</v>
      </c>
      <c r="Q66" t="str" cm="1">
        <f t="array" ref="Q66">_xlfn.IFS(ISNUMBER(SEARCH("TB", G66)),Protocol_Reference!$B$2, ISNUMBER(SEARCH("Malaria",G66)),Protocol_Reference!$B$3, ISNUMBER(SEARCH("Typhoid",G66)),Protocol_Reference!$B$4, ISNUMBER(SEARCH("Hypertension", G66,)),Protocol_Reference!$B$5, ISNUMBER(SEARCH("Diabetes", G66)),Protocol_Reference!$B$6, ISNUMBER(SEARCH("Cholera", G66)),Protocol_Reference!$B$7, ISNUMBER(SEARCH("Pneumonia", G66)),Protocol_Reference!$B$8, TRUE, "Out of scope/ Routine Care")</f>
        <v>Artemisinin-based Combination Therapy (ACT) - 3-day course</v>
      </c>
      <c r="R66" s="16">
        <f>IFERROR(VLOOKUP(E66,Doctor_Directory!$A$2:$D$31,4,FALSE),"Check Doctor Code")</f>
        <v>4000</v>
      </c>
      <c r="S66" s="6" cm="1">
        <f t="array" ref="S66">_xlfn.XLOOKUP(C66,Insurance_Reimbursement_Matrix!$A$2:$A$6,_xlfn.XLOOKUP(_xlfn.XLOOKUP(F66,Age_Bracket_Reference!$A$2:$A$6,Age_Bracket_Reference!$B$2:$B$6,,-1),Insurance_Reimbursement_Matrix!$B$1:$F$1,Insurance_Reimbursement_Matrix!$B$2:$F$6))</f>
        <v>0.79</v>
      </c>
    </row>
    <row r="67" spans="1:19" x14ac:dyDescent="0.25">
      <c r="A67" s="2" t="s">
        <v>270</v>
      </c>
      <c r="B67" s="2" t="s">
        <v>271</v>
      </c>
      <c r="C67" s="2" t="s">
        <v>26</v>
      </c>
      <c r="D67" s="2" t="s">
        <v>27</v>
      </c>
      <c r="E67" s="2" t="s">
        <v>28</v>
      </c>
      <c r="F67" s="2">
        <v>8</v>
      </c>
      <c r="G67" s="2" t="s">
        <v>75</v>
      </c>
      <c r="H67" s="2" t="s">
        <v>272</v>
      </c>
      <c r="I67" s="18">
        <v>9808</v>
      </c>
      <c r="J67" s="2">
        <v>3</v>
      </c>
      <c r="K67" t="str">
        <f>_xlfn.IFNA(VLOOKUP(TRIM(E67),Doctor_Directory!$A$2:$D$31,2,FALSE),"No name")</f>
        <v>Dr. Ronke Nnaji</v>
      </c>
      <c r="L67" t="str">
        <f>VLOOKUP(TRIM(D67),[1]Hospital_Details!$A$2:$D$16,2,FALSE)</f>
        <v>MC-KAN-03</v>
      </c>
      <c r="M67" t="str">
        <f>VLOOKUP(I67,Bill_Tier_Reference!$A$2:$B$5,2,TRUE)</f>
        <v>Tier 1 - Basic</v>
      </c>
      <c r="N67" t="str">
        <f>VLOOKUP(F67,Age_Bracket_Reference!$A$2:$B$6,2,TRUE)</f>
        <v>Child</v>
      </c>
      <c r="O67" t="str">
        <f>VLOOKUP(C67,State_Coordinator!$A$2:$B$6,2,FALSE)</f>
        <v>Hauwa Mustapha</v>
      </c>
      <c r="P67" t="str">
        <f>VLOOKUP(L67,[2]Hospital_Details!$B$2:$D$16,3,FALSE)</f>
        <v>Platinum</v>
      </c>
      <c r="Q67" t="str" cm="1">
        <f t="array" ref="Q67">_xlfn.IFS(ISNUMBER(SEARCH("TB", G67)),Protocol_Reference!$B$2, ISNUMBER(SEARCH("Malaria",G67)),Protocol_Reference!$B$3, ISNUMBER(SEARCH("Typhoid",G67)),Protocol_Reference!$B$4, ISNUMBER(SEARCH("Hypertension", G67,)),Protocol_Reference!$B$5, ISNUMBER(SEARCH("Diabetes", G67)),Protocol_Reference!$B$6, ISNUMBER(SEARCH("Cholera", G67)),Protocol_Reference!$B$7, ISNUMBER(SEARCH("Pneumonia", G67)),Protocol_Reference!$B$8, TRUE, "Out of scope/ Routine Care")</f>
        <v>Directly Observed Treatment Short-course (DOTS) - 6 month regimen</v>
      </c>
      <c r="R67" s="16">
        <f>IFERROR(VLOOKUP(E67,Doctor_Directory!$A$2:$D$31,4,FALSE),"Check Doctor Code")</f>
        <v>4000</v>
      </c>
      <c r="S67" s="6" cm="1">
        <f t="array" ref="S67">_xlfn.XLOOKUP(C67,Insurance_Reimbursement_Matrix!$A$2:$A$6,_xlfn.XLOOKUP(_xlfn.XLOOKUP(F67,Age_Bracket_Reference!$A$2:$A$6,Age_Bracket_Reference!$B$2:$B$6,,-1),Insurance_Reimbursement_Matrix!$B$1:$F$1,Insurance_Reimbursement_Matrix!$B$2:$F$6))</f>
        <v>0.81</v>
      </c>
    </row>
    <row r="68" spans="1:19" x14ac:dyDescent="0.25">
      <c r="A68" s="2" t="s">
        <v>273</v>
      </c>
      <c r="B68" s="2" t="s">
        <v>274</v>
      </c>
      <c r="C68" s="2" t="s">
        <v>37</v>
      </c>
      <c r="D68" s="2" t="s">
        <v>79</v>
      </c>
      <c r="E68" s="2" t="s">
        <v>110</v>
      </c>
      <c r="F68" s="2">
        <v>1</v>
      </c>
      <c r="G68" s="2" t="s">
        <v>156</v>
      </c>
      <c r="H68" s="2" t="s">
        <v>275</v>
      </c>
      <c r="I68" s="18">
        <v>79278</v>
      </c>
      <c r="J68" s="2">
        <v>12</v>
      </c>
      <c r="K68" t="str">
        <f>_xlfn.IFNA(VLOOKUP(TRIM(E68),Doctor_Directory!$A$2:$D$31,2,FALSE),"No name")</f>
        <v>Dr. Uche Ogunleye</v>
      </c>
      <c r="L68" t="str">
        <f>VLOOKUP(TRIM(D68),[1]Hospital_Details!$A$2:$D$16,2,FALSE)</f>
        <v>MC-ENU-01</v>
      </c>
      <c r="M68" t="str">
        <f>VLOOKUP(I68,Bill_Tier_Reference!$A$2:$B$5,2,TRUE)</f>
        <v>Tier 3 - Premium</v>
      </c>
      <c r="N68" t="str">
        <f>VLOOKUP(F68,Age_Bracket_Reference!$A$2:$B$6,2,TRUE)</f>
        <v>Child</v>
      </c>
      <c r="O68" t="str">
        <f>VLOOKUP(C68,State_Coordinator!$A$2:$B$6,2,FALSE)</f>
        <v>Chidiebere Okoro</v>
      </c>
      <c r="P68" t="str">
        <f>VLOOKUP(L68,[2]Hospital_Details!$B$2:$D$16,3,FALSE)</f>
        <v>Gold</v>
      </c>
      <c r="Q68" t="str" cm="1">
        <f t="array" ref="Q68">_xlfn.IFS(ISNUMBER(SEARCH("TB", G68)),Protocol_Reference!$B$2, ISNUMBER(SEARCH("Malaria",G68)),Protocol_Reference!$B$3, ISNUMBER(SEARCH("Typhoid",G68)),Protocol_Reference!$B$4, ISNUMBER(SEARCH("Hypertension", G68,)),Protocol_Reference!$B$5, ISNUMBER(SEARCH("Diabetes", G68)),Protocol_Reference!$B$6, ISNUMBER(SEARCH("Cholera", G68)),Protocol_Reference!$B$7, ISNUMBER(SEARCH("Pneumonia", G68)),Protocol_Reference!$B$8, TRUE, "Out of scope/ Routine Care")</f>
        <v>Metformin 500mg twice daily + dietary counselling</v>
      </c>
      <c r="R68" s="16">
        <f>IFERROR(VLOOKUP(E68,Doctor_Directory!$A$2:$D$31,4,FALSE),"Check Doctor Code")</f>
        <v>6000</v>
      </c>
      <c r="S68" s="6" cm="1">
        <f t="array" ref="S68">_xlfn.XLOOKUP(C68,Insurance_Reimbursement_Matrix!$A$2:$A$6,_xlfn.XLOOKUP(_xlfn.XLOOKUP(F68,Age_Bracket_Reference!$A$2:$A$6,Age_Bracket_Reference!$B$2:$B$6,,-1),Insurance_Reimbursement_Matrix!$B$1:$F$1,Insurance_Reimbursement_Matrix!$B$2:$F$6))</f>
        <v>0.9</v>
      </c>
    </row>
    <row r="69" spans="1:19" x14ac:dyDescent="0.25">
      <c r="A69" s="2" t="s">
        <v>276</v>
      </c>
      <c r="B69" s="2" t="s">
        <v>277</v>
      </c>
      <c r="C69" s="2" t="s">
        <v>19</v>
      </c>
      <c r="D69" s="2" t="s">
        <v>102</v>
      </c>
      <c r="E69" s="2" t="s">
        <v>39</v>
      </c>
      <c r="F69" s="2">
        <v>34</v>
      </c>
      <c r="G69" s="2" t="s">
        <v>98</v>
      </c>
      <c r="H69" s="2" t="s">
        <v>278</v>
      </c>
      <c r="I69" s="18">
        <v>47861</v>
      </c>
      <c r="J69" s="2">
        <v>5</v>
      </c>
      <c r="K69" t="str">
        <f>_xlfn.IFNA(VLOOKUP(TRIM(E69),Doctor_Directory!$A$2:$D$31,2,FALSE),"No name")</f>
        <v>Dr. Blessing Obi</v>
      </c>
      <c r="L69" t="str">
        <f>VLOOKUP(TRIM(D69),[1]Hospital_Details!$A$2:$D$16,2,FALSE)</f>
        <v>MC-LAG-03</v>
      </c>
      <c r="M69" t="str">
        <f>VLOOKUP(I69,Bill_Tier_Reference!$A$2:$B$5,2,TRUE)</f>
        <v>Tier 2 - Standard</v>
      </c>
      <c r="N69" t="str">
        <f>VLOOKUP(F69,Age_Bracket_Reference!$A$2:$B$6,2,TRUE)</f>
        <v>Young Adult</v>
      </c>
      <c r="O69" t="str">
        <f>VLOOKUP(C69,State_Coordinator!$A$2:$B$6,2,FALSE)</f>
        <v>Funmilayo Adebayo</v>
      </c>
      <c r="P69" t="str">
        <f>VLOOKUP(L69,[2]Hospital_Details!$B$2:$D$16,3,FALSE)</f>
        <v>Bronze</v>
      </c>
      <c r="Q69" t="str" cm="1">
        <f t="array" ref="Q69">_xlfn.IFS(ISNUMBER(SEARCH("TB", G69)),Protocol_Reference!$B$2, ISNUMBER(SEARCH("Malaria",G69)),Protocol_Reference!$B$3, ISNUMBER(SEARCH("Typhoid",G69)),Protocol_Reference!$B$4, ISNUMBER(SEARCH("Hypertension", G69,)),Protocol_Reference!$B$5, ISNUMBER(SEARCH("Diabetes", G69)),Protocol_Reference!$B$6, ISNUMBER(SEARCH("Cholera", G69)),Protocol_Reference!$B$7, ISNUMBER(SEARCH("Pneumonia", G69)),Protocol_Reference!$B$8, TRUE, "Out of scope/ Routine Care")</f>
        <v>Directly Observed Treatment Short-course (DOTS) - 6 month regimen</v>
      </c>
      <c r="R69" s="16">
        <f>IFERROR(VLOOKUP(E69,Doctor_Directory!$A$2:$D$31,4,FALSE),"Check Doctor Code")</f>
        <v>3500</v>
      </c>
      <c r="S69" s="6" cm="1">
        <f t="array" ref="S69">_xlfn.XLOOKUP(C69,Insurance_Reimbursement_Matrix!$A$2:$A$6,_xlfn.XLOOKUP(_xlfn.XLOOKUP(F69,Age_Bracket_Reference!$A$2:$A$6,Age_Bracket_Reference!$B$2:$B$6,,-1),Insurance_Reimbursement_Matrix!$B$1:$F$1,Insurance_Reimbursement_Matrix!$B$2:$F$6))</f>
        <v>0.67</v>
      </c>
    </row>
    <row r="70" spans="1:19" x14ac:dyDescent="0.25">
      <c r="A70" s="2" t="s">
        <v>279</v>
      </c>
      <c r="B70" s="2" t="s">
        <v>280</v>
      </c>
      <c r="C70" s="2" t="s">
        <v>19</v>
      </c>
      <c r="D70" s="2" t="s">
        <v>20</v>
      </c>
      <c r="E70" s="2" t="s">
        <v>46</v>
      </c>
      <c r="F70" s="2">
        <v>40</v>
      </c>
      <c r="G70" s="2" t="s">
        <v>75</v>
      </c>
      <c r="H70" s="2" t="s">
        <v>135</v>
      </c>
      <c r="I70" s="18">
        <v>91299</v>
      </c>
      <c r="J70" s="2">
        <v>12</v>
      </c>
      <c r="K70" t="str">
        <f>_xlfn.IFNA(VLOOKUP(TRIM(E70),Doctor_Directory!$A$2:$D$31,2,FALSE),"No name")</f>
        <v>Dr. Amaka Okafor</v>
      </c>
      <c r="L70" t="str">
        <f>VLOOKUP(TRIM(D70),[1]Hospital_Details!$A$2:$D$16,2,FALSE)</f>
        <v>MC-LAG-01</v>
      </c>
      <c r="M70" t="str">
        <f>VLOOKUP(I70,Bill_Tier_Reference!$A$2:$B$5,2,TRUE)</f>
        <v>Tier 3 - Premium</v>
      </c>
      <c r="N70" t="str">
        <f>VLOOKUP(F70,Age_Bracket_Reference!$A$2:$B$6,2,TRUE)</f>
        <v>Adult</v>
      </c>
      <c r="O70" t="str">
        <f>VLOOKUP(C70,State_Coordinator!$A$2:$B$6,2,FALSE)</f>
        <v>Funmilayo Adebayo</v>
      </c>
      <c r="P70" t="str">
        <f>VLOOKUP(L70,[2]Hospital_Details!$B$2:$D$16,3,FALSE)</f>
        <v>Platinum</v>
      </c>
      <c r="Q70" t="str" cm="1">
        <f t="array" ref="Q70">_xlfn.IFS(ISNUMBER(SEARCH("TB", G70)),Protocol_Reference!$B$2, ISNUMBER(SEARCH("Malaria",G70)),Protocol_Reference!$B$3, ISNUMBER(SEARCH("Typhoid",G70)),Protocol_Reference!$B$4, ISNUMBER(SEARCH("Hypertension", G70,)),Protocol_Reference!$B$5, ISNUMBER(SEARCH("Diabetes", G70)),Protocol_Reference!$B$6, ISNUMBER(SEARCH("Cholera", G70)),Protocol_Reference!$B$7, ISNUMBER(SEARCH("Pneumonia", G70)),Protocol_Reference!$B$8, TRUE, "Out of scope/ Routine Care")</f>
        <v>Directly Observed Treatment Short-course (DOTS) - 6 month regimen</v>
      </c>
      <c r="R70" s="16">
        <f>IFERROR(VLOOKUP(E70,Doctor_Directory!$A$2:$D$31,4,FALSE),"Check Doctor Code")</f>
        <v>4000</v>
      </c>
      <c r="S70" s="6" cm="1">
        <f t="array" ref="S70">_xlfn.XLOOKUP(C70,Insurance_Reimbursement_Matrix!$A$2:$A$6,_xlfn.XLOOKUP(_xlfn.XLOOKUP(F70,Age_Bracket_Reference!$A$2:$A$6,Age_Bracket_Reference!$B$2:$B$6,,-1),Insurance_Reimbursement_Matrix!$B$1:$F$1,Insurance_Reimbursement_Matrix!$B$2:$F$6))</f>
        <v>0.66</v>
      </c>
    </row>
    <row r="71" spans="1:19" x14ac:dyDescent="0.25">
      <c r="A71" s="2" t="s">
        <v>281</v>
      </c>
      <c r="B71" s="2" t="s">
        <v>282</v>
      </c>
      <c r="C71" s="2" t="s">
        <v>37</v>
      </c>
      <c r="D71" s="2" t="s">
        <v>38</v>
      </c>
      <c r="E71" s="2" t="s">
        <v>187</v>
      </c>
      <c r="F71" s="2">
        <v>57</v>
      </c>
      <c r="G71" s="2" t="s">
        <v>81</v>
      </c>
      <c r="H71" s="2" t="s">
        <v>283</v>
      </c>
      <c r="I71" s="18">
        <v>171276</v>
      </c>
      <c r="J71" s="2">
        <v>1</v>
      </c>
      <c r="K71" t="str">
        <f>_xlfn.IFNA(VLOOKUP(TRIM(E71),Doctor_Directory!$A$2:$D$31,2,FALSE),"No name")</f>
        <v>Dr. Maryam Adeyemi</v>
      </c>
      <c r="L71" t="str">
        <f>VLOOKUP(TRIM(D71),[1]Hospital_Details!$A$2:$D$16,2,FALSE)</f>
        <v>MC-ENU-03</v>
      </c>
      <c r="M71" t="str">
        <f>VLOOKUP(I71,Bill_Tier_Reference!$A$2:$B$5,2,TRUE)</f>
        <v>Tier 3 - Premium</v>
      </c>
      <c r="N71" t="str">
        <f>VLOOKUP(F71,Age_Bracket_Reference!$A$2:$B$6,2,TRUE)</f>
        <v>Adult</v>
      </c>
      <c r="O71" t="str">
        <f>VLOOKUP(C71,State_Coordinator!$A$2:$B$6,2,FALSE)</f>
        <v>Chidiebere Okoro</v>
      </c>
      <c r="P71" t="str">
        <f>VLOOKUP(L71,[2]Hospital_Details!$B$2:$D$16,3,FALSE)</f>
        <v>Gold</v>
      </c>
      <c r="Q71" t="str" cm="1">
        <f t="array" ref="Q71">_xlfn.IFS(ISNUMBER(SEARCH("TB", G71)),Protocol_Reference!$B$2, ISNUMBER(SEARCH("Malaria",G71)),Protocol_Reference!$B$3, ISNUMBER(SEARCH("Typhoid",G71)),Protocol_Reference!$B$4, ISNUMBER(SEARCH("Hypertension", G71,)),Protocol_Reference!$B$5, ISNUMBER(SEARCH("Diabetes", G71)),Protocol_Reference!$B$6, ISNUMBER(SEARCH("Cholera", G71)),Protocol_Reference!$B$7, ISNUMBER(SEARCH("Pneumonia", G71)),Protocol_Reference!$B$8, TRUE, "Out of scope/ Routine Care")</f>
        <v>Directly Observed Treatment Short-course (DOTS) - 6 month regimen</v>
      </c>
      <c r="R71" s="16">
        <f>IFERROR(VLOOKUP(E71,Doctor_Directory!$A$2:$D$31,4,FALSE),"Check Doctor Code")</f>
        <v>8500</v>
      </c>
      <c r="S71" s="6" cm="1">
        <f t="array" ref="S71">_xlfn.XLOOKUP(C71,Insurance_Reimbursement_Matrix!$A$2:$A$6,_xlfn.XLOOKUP(_xlfn.XLOOKUP(F71,Age_Bracket_Reference!$A$2:$A$6,Age_Bracket_Reference!$B$2:$B$6,,-1),Insurance_Reimbursement_Matrix!$B$1:$F$1,Insurance_Reimbursement_Matrix!$B$2:$F$6))</f>
        <v>0.68</v>
      </c>
    </row>
    <row r="72" spans="1:19" x14ac:dyDescent="0.25">
      <c r="A72" s="2" t="s">
        <v>284</v>
      </c>
      <c r="B72" s="2" t="s">
        <v>285</v>
      </c>
      <c r="C72" s="2" t="s">
        <v>37</v>
      </c>
      <c r="D72" s="2" t="s">
        <v>286</v>
      </c>
      <c r="E72" s="2" t="s">
        <v>58</v>
      </c>
      <c r="F72" s="2">
        <v>87</v>
      </c>
      <c r="G72" s="2" t="s">
        <v>15</v>
      </c>
      <c r="H72" s="2" t="s">
        <v>287</v>
      </c>
      <c r="I72" s="18">
        <v>291850</v>
      </c>
      <c r="J72" s="2">
        <v>9</v>
      </c>
      <c r="K72" t="str">
        <f>_xlfn.IFNA(VLOOKUP(TRIM(E72),Doctor_Directory!$A$2:$D$31,2,FALSE),"No name")</f>
        <v>Dr. Damilola Chidozie</v>
      </c>
      <c r="L72" t="str">
        <f>VLOOKUP(TRIM(D72),[1]Hospital_Details!$A$2:$D$16,2,FALSE)</f>
        <v>MC-ENU-03</v>
      </c>
      <c r="M72" t="str">
        <f>VLOOKUP(I72,Bill_Tier_Reference!$A$2:$B$5,2,TRUE)</f>
        <v>Tier 4 - Elite</v>
      </c>
      <c r="N72" t="str">
        <f>VLOOKUP(F72,Age_Bracket_Reference!$A$2:$B$6,2,TRUE)</f>
        <v>Senior</v>
      </c>
      <c r="O72" t="str">
        <f>VLOOKUP(C72,State_Coordinator!$A$2:$B$6,2,FALSE)</f>
        <v>Chidiebere Okoro</v>
      </c>
      <c r="P72" t="str">
        <f>VLOOKUP(L72,[2]Hospital_Details!$B$2:$D$16,3,FALSE)</f>
        <v>Gold</v>
      </c>
      <c r="Q72" t="str" cm="1">
        <f t="array" ref="Q72">_xlfn.IFS(ISNUMBER(SEARCH("TB", G72)),Protocol_Reference!$B$2, ISNUMBER(SEARCH("Malaria",G72)),Protocol_Reference!$B$3, ISNUMBER(SEARCH("Typhoid",G72)),Protocol_Reference!$B$4, ISNUMBER(SEARCH("Hypertension", G72,)),Protocol_Reference!$B$5, ISNUMBER(SEARCH("Diabetes", G72)),Protocol_Reference!$B$6, ISNUMBER(SEARCH("Cholera", G72)),Protocol_Reference!$B$7, ISNUMBER(SEARCH("Pneumonia", G72)),Protocol_Reference!$B$8, TRUE, "Out of scope/ Routine Care")</f>
        <v>Ciprofloxacin 500mg twice daily for 7-10 days</v>
      </c>
      <c r="R72" s="16">
        <f>IFERROR(VLOOKUP(E72,Doctor_Directory!$A$2:$D$31,4,FALSE),"Check Doctor Code")</f>
        <v>6000</v>
      </c>
      <c r="S72" s="6" cm="1">
        <f t="array" ref="S72">_xlfn.XLOOKUP(C72,Insurance_Reimbursement_Matrix!$A$2:$A$6,_xlfn.XLOOKUP(_xlfn.XLOOKUP(F72,Age_Bracket_Reference!$A$2:$A$6,Age_Bracket_Reference!$B$2:$B$6,,-1),Insurance_Reimbursement_Matrix!$B$1:$F$1,Insurance_Reimbursement_Matrix!$B$2:$F$6))</f>
        <v>0.76</v>
      </c>
    </row>
    <row r="73" spans="1:19" x14ac:dyDescent="0.25">
      <c r="A73" s="2" t="s">
        <v>288</v>
      </c>
      <c r="B73" s="2" t="s">
        <v>289</v>
      </c>
      <c r="C73" s="2" t="s">
        <v>26</v>
      </c>
      <c r="D73" s="2" t="s">
        <v>150</v>
      </c>
      <c r="E73" s="2" t="s">
        <v>218</v>
      </c>
      <c r="F73" s="2">
        <v>56</v>
      </c>
      <c r="G73" s="2" t="s">
        <v>290</v>
      </c>
      <c r="H73" s="2" t="s">
        <v>291</v>
      </c>
      <c r="I73" s="18">
        <v>120607</v>
      </c>
      <c r="J73" s="2">
        <v>6</v>
      </c>
      <c r="K73" t="str">
        <f>_xlfn.IFNA(VLOOKUP(TRIM(E73),Doctor_Directory!$A$2:$D$31,2,FALSE),"No name")</f>
        <v>Dr. Ronke Eze</v>
      </c>
      <c r="L73" t="str">
        <f>VLOOKUP(TRIM(D73),[1]Hospital_Details!$A$2:$D$16,2,FALSE)</f>
        <v>MC-KAN-01</v>
      </c>
      <c r="M73" t="str">
        <f>VLOOKUP(I73,Bill_Tier_Reference!$A$2:$B$5,2,TRUE)</f>
        <v>Tier 3 - Premium</v>
      </c>
      <c r="N73" t="str">
        <f>VLOOKUP(F73,Age_Bracket_Reference!$A$2:$B$6,2,TRUE)</f>
        <v>Adult</v>
      </c>
      <c r="O73" t="str">
        <f>VLOOKUP(C73,State_Coordinator!$A$2:$B$6,2,FALSE)</f>
        <v>Hauwa Mustapha</v>
      </c>
      <c r="P73" t="str">
        <f>VLOOKUP(L73,[2]Hospital_Details!$B$2:$D$16,3,FALSE)</f>
        <v>Silver</v>
      </c>
      <c r="Q73" t="str" cm="1">
        <f t="array" ref="Q73">_xlfn.IFS(ISNUMBER(SEARCH("TB", G73)),Protocol_Reference!$B$2, ISNUMBER(SEARCH("Malaria",G73)),Protocol_Reference!$B$3, ISNUMBER(SEARCH("Typhoid",G73)),Protocol_Reference!$B$4, ISNUMBER(SEARCH("Hypertension", G73,)),Protocol_Reference!$B$5, ISNUMBER(SEARCH("Diabetes", G73)),Protocol_Reference!$B$6, ISNUMBER(SEARCH("Cholera", G73)),Protocol_Reference!$B$7, ISNUMBER(SEARCH("Pneumonia", G73)),Protocol_Reference!$B$8, TRUE, "Out of scope/ Routine Care")</f>
        <v>Directly Observed Treatment Short-course (DOTS) - 6 month regimen</v>
      </c>
      <c r="R73" s="16">
        <f>IFERROR(VLOOKUP(E73,Doctor_Directory!$A$2:$D$31,4,FALSE),"Check Doctor Code")</f>
        <v>3500</v>
      </c>
      <c r="S73" s="6" cm="1">
        <f t="array" ref="S73">_xlfn.XLOOKUP(C73,Insurance_Reimbursement_Matrix!$A$2:$A$6,_xlfn.XLOOKUP(_xlfn.XLOOKUP(F73,Age_Bracket_Reference!$A$2:$A$6,Age_Bracket_Reference!$B$2:$B$6,,-1),Insurance_Reimbursement_Matrix!$B$1:$F$1,Insurance_Reimbursement_Matrix!$B$2:$F$6))</f>
        <v>0.73</v>
      </c>
    </row>
    <row r="74" spans="1:19" x14ac:dyDescent="0.25">
      <c r="A74" s="2" t="s">
        <v>292</v>
      </c>
      <c r="B74" s="2" t="s">
        <v>293</v>
      </c>
      <c r="C74" s="2" t="s">
        <v>44</v>
      </c>
      <c r="D74" s="2" t="s">
        <v>138</v>
      </c>
      <c r="E74" s="2" t="s">
        <v>106</v>
      </c>
      <c r="F74" s="2">
        <v>89</v>
      </c>
      <c r="G74" s="2" t="s">
        <v>111</v>
      </c>
      <c r="H74" s="2" t="s">
        <v>294</v>
      </c>
      <c r="I74" s="18">
        <v>219239</v>
      </c>
      <c r="J74" s="2">
        <v>2</v>
      </c>
      <c r="K74" t="str">
        <f>_xlfn.IFNA(VLOOKUP(TRIM(E74),Doctor_Directory!$A$2:$D$31,2,FALSE),"No name")</f>
        <v>Dr. Oluwaseun Fashola</v>
      </c>
      <c r="L74" t="str">
        <f>VLOOKUP(TRIM(D74),[1]Hospital_Details!$A$2:$D$16,2,FALSE)</f>
        <v>MC-ABJ-02</v>
      </c>
      <c r="M74" t="str">
        <f>VLOOKUP(I74,Bill_Tier_Reference!$A$2:$B$5,2,TRUE)</f>
        <v>Tier 4 - Elite</v>
      </c>
      <c r="N74" t="str">
        <f>VLOOKUP(F74,Age_Bracket_Reference!$A$2:$B$6,2,TRUE)</f>
        <v>Senior</v>
      </c>
      <c r="O74" t="str">
        <f>VLOOKUP(C74,State_Coordinator!$A$2:$B$6,2,FALSE)</f>
        <v>Ibrahim Garba</v>
      </c>
      <c r="P74" t="str">
        <f>VLOOKUP(L74,[2]Hospital_Details!$B$2:$D$16,3,FALSE)</f>
        <v>Silver</v>
      </c>
      <c r="Q74" t="str" cm="1">
        <f t="array" ref="Q74">_xlfn.IFS(ISNUMBER(SEARCH("TB", G74)),Protocol_Reference!$B$2, ISNUMBER(SEARCH("Malaria",G74)),Protocol_Reference!$B$3, ISNUMBER(SEARCH("Typhoid",G74)),Protocol_Reference!$B$4, ISNUMBER(SEARCH("Hypertension", G74,)),Protocol_Reference!$B$5, ISNUMBER(SEARCH("Diabetes", G74)),Protocol_Reference!$B$6, ISNUMBER(SEARCH("Cholera", G74)),Protocol_Reference!$B$7, ISNUMBER(SEARCH("Pneumonia", G74)),Protocol_Reference!$B$8, TRUE, "Out of scope/ Routine Care")</f>
        <v>Oral Rehydration Therapy + Doxycycline</v>
      </c>
      <c r="R74" s="16">
        <f>IFERROR(VLOOKUP(E74,Doctor_Directory!$A$2:$D$31,4,FALSE),"Check Doctor Code")</f>
        <v>6000</v>
      </c>
      <c r="S74" s="6" cm="1">
        <f t="array" ref="S74">_xlfn.XLOOKUP(C74,Insurance_Reimbursement_Matrix!$A$2:$A$6,_xlfn.XLOOKUP(_xlfn.XLOOKUP(F74,Age_Bracket_Reference!$A$2:$A$6,Age_Bracket_Reference!$B$2:$B$6,,-1),Insurance_Reimbursement_Matrix!$B$1:$F$1,Insurance_Reimbursement_Matrix!$B$2:$F$6))</f>
        <v>0.79</v>
      </c>
    </row>
    <row r="75" spans="1:19" x14ac:dyDescent="0.25">
      <c r="A75" s="2" t="s">
        <v>295</v>
      </c>
      <c r="B75" s="2" t="s">
        <v>296</v>
      </c>
      <c r="C75" s="2" t="s">
        <v>26</v>
      </c>
      <c r="D75" s="2" t="s">
        <v>150</v>
      </c>
      <c r="E75" s="2" t="s">
        <v>58</v>
      </c>
      <c r="F75" s="2">
        <v>52</v>
      </c>
      <c r="G75" s="2" t="s">
        <v>70</v>
      </c>
      <c r="H75" s="2" t="s">
        <v>16</v>
      </c>
      <c r="I75" s="18">
        <v>82104</v>
      </c>
      <c r="J75" s="2">
        <v>10</v>
      </c>
      <c r="K75" t="str">
        <f>_xlfn.IFNA(VLOOKUP(TRIM(E75),Doctor_Directory!$A$2:$D$31,2,FALSE),"No name")</f>
        <v>Dr. Damilola Chidozie</v>
      </c>
      <c r="L75" t="str">
        <f>VLOOKUP(TRIM(D75),[1]Hospital_Details!$A$2:$D$16,2,FALSE)</f>
        <v>MC-KAN-01</v>
      </c>
      <c r="M75" t="str">
        <f>VLOOKUP(I75,Bill_Tier_Reference!$A$2:$B$5,2,TRUE)</f>
        <v>Tier 3 - Premium</v>
      </c>
      <c r="N75" t="str">
        <f>VLOOKUP(F75,Age_Bracket_Reference!$A$2:$B$6,2,TRUE)</f>
        <v>Adult</v>
      </c>
      <c r="O75" t="str">
        <f>VLOOKUP(C75,State_Coordinator!$A$2:$B$6,2,FALSE)</f>
        <v>Hauwa Mustapha</v>
      </c>
      <c r="P75" t="str">
        <f>VLOOKUP(L75,[2]Hospital_Details!$B$2:$D$16,3,FALSE)</f>
        <v>Silver</v>
      </c>
      <c r="Q75" t="str" cm="1">
        <f t="array" ref="Q75">_xlfn.IFS(ISNUMBER(SEARCH("TB", G75)),Protocol_Reference!$B$2, ISNUMBER(SEARCH("Malaria",G75)),Protocol_Reference!$B$3, ISNUMBER(SEARCH("Typhoid",G75)),Protocol_Reference!$B$4, ISNUMBER(SEARCH("Hypertension", G75,)),Protocol_Reference!$B$5, ISNUMBER(SEARCH("Diabetes", G75)),Protocol_Reference!$B$6, ISNUMBER(SEARCH("Cholera", G75)),Protocol_Reference!$B$7, ISNUMBER(SEARCH("Pneumonia", G75)),Protocol_Reference!$B$8, TRUE, "Out of scope/ Routine Care")</f>
        <v>Amoxicillin-Clavulanate 625mg three times daily for 7 days</v>
      </c>
      <c r="R75" s="16">
        <f>IFERROR(VLOOKUP(E75,Doctor_Directory!$A$2:$D$31,4,FALSE),"Check Doctor Code")</f>
        <v>6000</v>
      </c>
      <c r="S75" s="6" cm="1">
        <f t="array" ref="S75">_xlfn.XLOOKUP(C75,Insurance_Reimbursement_Matrix!$A$2:$A$6,_xlfn.XLOOKUP(_xlfn.XLOOKUP(F75,Age_Bracket_Reference!$A$2:$A$6,Age_Bracket_Reference!$B$2:$B$6,,-1),Insurance_Reimbursement_Matrix!$B$1:$F$1,Insurance_Reimbursement_Matrix!$B$2:$F$6))</f>
        <v>0.73</v>
      </c>
    </row>
    <row r="76" spans="1:19" x14ac:dyDescent="0.25">
      <c r="A76" s="2" t="s">
        <v>297</v>
      </c>
      <c r="B76" s="2" t="s">
        <v>262</v>
      </c>
      <c r="C76" s="2" t="s">
        <v>12</v>
      </c>
      <c r="D76" s="2" t="s">
        <v>13</v>
      </c>
      <c r="E76" s="2" t="s">
        <v>231</v>
      </c>
      <c r="F76" s="2">
        <v>35</v>
      </c>
      <c r="G76" s="2" t="s">
        <v>151</v>
      </c>
      <c r="H76" s="2" t="s">
        <v>157</v>
      </c>
      <c r="I76" s="18">
        <v>12438</v>
      </c>
      <c r="J76" s="2">
        <v>1</v>
      </c>
      <c r="K76" t="str">
        <f>_xlfn.IFNA(VLOOKUP(TRIM(E76),Doctor_Directory!$A$2:$D$31,2,FALSE),"No name")</f>
        <v>Dr. Bimpe Mohammed</v>
      </c>
      <c r="L76" t="str">
        <f>VLOOKUP(TRIM(D76),[1]Hospital_Details!$A$2:$D$16,2,FALSE)</f>
        <v>MC-PHC-01</v>
      </c>
      <c r="M76" t="str">
        <f>VLOOKUP(I76,Bill_Tier_Reference!$A$2:$B$5,2,TRUE)</f>
        <v>Tier 1 - Basic</v>
      </c>
      <c r="N76" t="str">
        <f>VLOOKUP(F76,Age_Bracket_Reference!$A$2:$B$6,2,TRUE)</f>
        <v>Adult</v>
      </c>
      <c r="O76" t="str">
        <f>VLOOKUP(C76,State_Coordinator!$A$2:$B$6,2,FALSE)</f>
        <v>Ebiere Amadi</v>
      </c>
      <c r="P76" t="str">
        <f>VLOOKUP(L76,[2]Hospital_Details!$B$2:$D$16,3,FALSE)</f>
        <v>Bronze</v>
      </c>
      <c r="Q76" t="str" cm="1">
        <f t="array" ref="Q76">_xlfn.IFS(ISNUMBER(SEARCH("TB", G76)),Protocol_Reference!$B$2, ISNUMBER(SEARCH("Malaria",G76)),Protocol_Reference!$B$3, ISNUMBER(SEARCH("Typhoid",G76)),Protocol_Reference!$B$4, ISNUMBER(SEARCH("Hypertension", G76,)),Protocol_Reference!$B$5, ISNUMBER(SEARCH("Diabetes", G76)),Protocol_Reference!$B$6, ISNUMBER(SEARCH("Cholera", G76)),Protocol_Reference!$B$7, ISNUMBER(SEARCH("Pneumonia", G76)),Protocol_Reference!$B$8, TRUE, "Out of scope/ Routine Care")</f>
        <v>Amoxicillin-Clavulanate 625mg three times daily for 7 days</v>
      </c>
      <c r="R76" s="16">
        <f>IFERROR(VLOOKUP(E76,Doctor_Directory!$A$2:$D$31,4,FALSE),"Check Doctor Code")</f>
        <v>4000</v>
      </c>
      <c r="S76" s="6" cm="1">
        <f t="array" ref="S76">_xlfn.XLOOKUP(C76,Insurance_Reimbursement_Matrix!$A$2:$A$6,_xlfn.XLOOKUP(_xlfn.XLOOKUP(F76,Age_Bracket_Reference!$A$2:$A$6,Age_Bracket_Reference!$B$2:$B$6,,-1),Insurance_Reimbursement_Matrix!$B$1:$F$1,Insurance_Reimbursement_Matrix!$B$2:$F$6))</f>
        <v>0.71</v>
      </c>
    </row>
    <row r="77" spans="1:19" x14ac:dyDescent="0.25">
      <c r="A77" s="2" t="s">
        <v>298</v>
      </c>
      <c r="B77" s="2" t="s">
        <v>299</v>
      </c>
      <c r="C77" s="2" t="s">
        <v>44</v>
      </c>
      <c r="D77" s="2" t="s">
        <v>186</v>
      </c>
      <c r="E77" s="2" t="s">
        <v>110</v>
      </c>
      <c r="F77" s="2">
        <v>40</v>
      </c>
      <c r="G77" s="2" t="s">
        <v>151</v>
      </c>
      <c r="H77" s="2" t="s">
        <v>300</v>
      </c>
      <c r="I77" s="18">
        <v>259486</v>
      </c>
      <c r="J77" s="2">
        <v>2</v>
      </c>
      <c r="K77" t="str">
        <f>_xlfn.IFNA(VLOOKUP(TRIM(E77),Doctor_Directory!$A$2:$D$31,2,FALSE),"No name")</f>
        <v>Dr. Uche Ogunleye</v>
      </c>
      <c r="L77" t="str">
        <f>VLOOKUP(TRIM(D77),[1]Hospital_Details!$A$2:$D$16,2,FALSE)</f>
        <v>MC-ABJ-03</v>
      </c>
      <c r="M77" t="str">
        <f>VLOOKUP(I77,Bill_Tier_Reference!$A$2:$B$5,2,TRUE)</f>
        <v>Tier 4 - Elite</v>
      </c>
      <c r="N77" t="str">
        <f>VLOOKUP(F77,Age_Bracket_Reference!$A$2:$B$6,2,TRUE)</f>
        <v>Adult</v>
      </c>
      <c r="O77" t="str">
        <f>VLOOKUP(C77,State_Coordinator!$A$2:$B$6,2,FALSE)</f>
        <v>Ibrahim Garba</v>
      </c>
      <c r="P77" t="str">
        <f>VLOOKUP(L77,[2]Hospital_Details!$B$2:$D$16,3,FALSE)</f>
        <v>Silver</v>
      </c>
      <c r="Q77" t="str" cm="1">
        <f t="array" ref="Q77">_xlfn.IFS(ISNUMBER(SEARCH("TB", G77)),Protocol_Reference!$B$2, ISNUMBER(SEARCH("Malaria",G77)),Protocol_Reference!$B$3, ISNUMBER(SEARCH("Typhoid",G77)),Protocol_Reference!$B$4, ISNUMBER(SEARCH("Hypertension", G77,)),Protocol_Reference!$B$5, ISNUMBER(SEARCH("Diabetes", G77)),Protocol_Reference!$B$6, ISNUMBER(SEARCH("Cholera", G77)),Protocol_Reference!$B$7, ISNUMBER(SEARCH("Pneumonia", G77)),Protocol_Reference!$B$8, TRUE, "Out of scope/ Routine Care")</f>
        <v>Amoxicillin-Clavulanate 625mg three times daily for 7 days</v>
      </c>
      <c r="R77" s="16">
        <f>IFERROR(VLOOKUP(E77,Doctor_Directory!$A$2:$D$31,4,FALSE),"Check Doctor Code")</f>
        <v>6000</v>
      </c>
      <c r="S77" s="6" cm="1">
        <f t="array" ref="S77">_xlfn.XLOOKUP(C77,Insurance_Reimbursement_Matrix!$A$2:$A$6,_xlfn.XLOOKUP(_xlfn.XLOOKUP(F77,Age_Bracket_Reference!$A$2:$A$6,Age_Bracket_Reference!$B$2:$B$6,,-1),Insurance_Reimbursement_Matrix!$B$1:$F$1,Insurance_Reimbursement_Matrix!$B$2:$F$6))</f>
        <v>0.65</v>
      </c>
    </row>
    <row r="78" spans="1:19" x14ac:dyDescent="0.25">
      <c r="A78" s="2" t="s">
        <v>301</v>
      </c>
      <c r="B78" s="2" t="s">
        <v>302</v>
      </c>
      <c r="C78" s="2" t="s">
        <v>12</v>
      </c>
      <c r="D78" s="2" t="s">
        <v>217</v>
      </c>
      <c r="E78" s="2" t="s">
        <v>116</v>
      </c>
      <c r="F78" s="2">
        <v>66</v>
      </c>
      <c r="G78" s="2" t="s">
        <v>117</v>
      </c>
      <c r="H78" s="2" t="s">
        <v>48</v>
      </c>
      <c r="I78" s="18">
        <v>74704</v>
      </c>
      <c r="J78" s="2">
        <v>8</v>
      </c>
      <c r="K78" t="str">
        <f>_xlfn.IFNA(VLOOKUP(TRIM(E78),Doctor_Directory!$A$2:$D$31,2,FALSE),"No name")</f>
        <v>Dr. Tunde Usman</v>
      </c>
      <c r="L78" t="str">
        <f>VLOOKUP(TRIM(D78),[1]Hospital_Details!$A$2:$D$16,2,FALSE)</f>
        <v>MC-PHC-03</v>
      </c>
      <c r="M78" t="str">
        <f>VLOOKUP(I78,Bill_Tier_Reference!$A$2:$B$5,2,TRUE)</f>
        <v>Tier 2 - Standard</v>
      </c>
      <c r="N78" t="str">
        <f>VLOOKUP(F78,Age_Bracket_Reference!$A$2:$B$6,2,TRUE)</f>
        <v>Senior</v>
      </c>
      <c r="O78" t="str">
        <f>VLOOKUP(C78,State_Coordinator!$A$2:$B$6,2,FALSE)</f>
        <v>Ebiere Amadi</v>
      </c>
      <c r="P78" t="str">
        <f>VLOOKUP(L78,[2]Hospital_Details!$B$2:$D$16,3,FALSE)</f>
        <v>Platinum</v>
      </c>
      <c r="Q78" t="str" cm="1">
        <f t="array" ref="Q78">_xlfn.IFS(ISNUMBER(SEARCH("TB", G78)),Protocol_Reference!$B$2, ISNUMBER(SEARCH("Malaria",G78)),Protocol_Reference!$B$3, ISNUMBER(SEARCH("Typhoid",G78)),Protocol_Reference!$B$4, ISNUMBER(SEARCH("Hypertension", G78,)),Protocol_Reference!$B$5, ISNUMBER(SEARCH("Diabetes", G78)),Protocol_Reference!$B$6, ISNUMBER(SEARCH("Cholera", G78)),Protocol_Reference!$B$7, ISNUMBER(SEARCH("Pneumonia", G78)),Protocol_Reference!$B$8, TRUE, "Out of scope/ Routine Care")</f>
        <v>Out of scope/ Routine Care</v>
      </c>
      <c r="R78" s="16">
        <f>IFERROR(VLOOKUP(E78,Doctor_Directory!$A$2:$D$31,4,FALSE),"Check Doctor Code")</f>
        <v>10000</v>
      </c>
      <c r="S78" s="6" cm="1">
        <f t="array" ref="S78">_xlfn.XLOOKUP(C78,Insurance_Reimbursement_Matrix!$A$2:$A$6,_xlfn.XLOOKUP(_xlfn.XLOOKUP(F78,Age_Bracket_Reference!$A$2:$A$6,Age_Bracket_Reference!$B$2:$B$6,,-1),Insurance_Reimbursement_Matrix!$B$1:$F$1,Insurance_Reimbursement_Matrix!$B$2:$F$6))</f>
        <v>0.79</v>
      </c>
    </row>
    <row r="79" spans="1:19" x14ac:dyDescent="0.25">
      <c r="A79" s="2" t="s">
        <v>303</v>
      </c>
      <c r="B79" s="2" t="s">
        <v>304</v>
      </c>
      <c r="C79" s="2" t="s">
        <v>12</v>
      </c>
      <c r="D79" s="2" t="s">
        <v>13</v>
      </c>
      <c r="E79" s="2" t="s">
        <v>74</v>
      </c>
      <c r="F79" s="2">
        <v>77</v>
      </c>
      <c r="G79" s="2" t="s">
        <v>70</v>
      </c>
      <c r="H79" s="2" t="s">
        <v>305</v>
      </c>
      <c r="I79" s="18">
        <v>176276</v>
      </c>
      <c r="J79" s="2">
        <v>13</v>
      </c>
      <c r="K79" t="str">
        <f>_xlfn.IFNA(VLOOKUP(TRIM(E79),Doctor_Directory!$A$2:$D$31,2,FALSE),"No name")</f>
        <v>Dr. Oluwaseun Okoye</v>
      </c>
      <c r="L79" t="str">
        <f>VLOOKUP(TRIM(D79),[1]Hospital_Details!$A$2:$D$16,2,FALSE)</f>
        <v>MC-PHC-01</v>
      </c>
      <c r="M79" t="str">
        <f>VLOOKUP(I79,Bill_Tier_Reference!$A$2:$B$5,2,TRUE)</f>
        <v>Tier 3 - Premium</v>
      </c>
      <c r="N79" t="str">
        <f>VLOOKUP(F79,Age_Bracket_Reference!$A$2:$B$6,2,TRUE)</f>
        <v>Senior</v>
      </c>
      <c r="O79" t="str">
        <f>VLOOKUP(C79,State_Coordinator!$A$2:$B$6,2,FALSE)</f>
        <v>Ebiere Amadi</v>
      </c>
      <c r="P79" t="str">
        <f>VLOOKUP(L79,[2]Hospital_Details!$B$2:$D$16,3,FALSE)</f>
        <v>Bronze</v>
      </c>
      <c r="Q79" t="str" cm="1">
        <f t="array" ref="Q79">_xlfn.IFS(ISNUMBER(SEARCH("TB", G79)),Protocol_Reference!$B$2, ISNUMBER(SEARCH("Malaria",G79)),Protocol_Reference!$B$3, ISNUMBER(SEARCH("Typhoid",G79)),Protocol_Reference!$B$4, ISNUMBER(SEARCH("Hypertension", G79,)),Protocol_Reference!$B$5, ISNUMBER(SEARCH("Diabetes", G79)),Protocol_Reference!$B$6, ISNUMBER(SEARCH("Cholera", G79)),Protocol_Reference!$B$7, ISNUMBER(SEARCH("Pneumonia", G79)),Protocol_Reference!$B$8, TRUE, "Out of scope/ Routine Care")</f>
        <v>Amoxicillin-Clavulanate 625mg three times daily for 7 days</v>
      </c>
      <c r="R79" s="16">
        <f>IFERROR(VLOOKUP(E79,Doctor_Directory!$A$2:$D$31,4,FALSE),"Check Doctor Code")</f>
        <v>8500</v>
      </c>
      <c r="S79" s="6" cm="1">
        <f t="array" ref="S79">_xlfn.XLOOKUP(C79,Insurance_Reimbursement_Matrix!$A$2:$A$6,_xlfn.XLOOKUP(_xlfn.XLOOKUP(F79,Age_Bracket_Reference!$A$2:$A$6,Age_Bracket_Reference!$B$2:$B$6,,-1),Insurance_Reimbursement_Matrix!$B$1:$F$1,Insurance_Reimbursement_Matrix!$B$2:$F$6))</f>
        <v>0.79</v>
      </c>
    </row>
    <row r="80" spans="1:19" x14ac:dyDescent="0.25">
      <c r="A80" s="2" t="s">
        <v>306</v>
      </c>
      <c r="B80" s="2" t="s">
        <v>307</v>
      </c>
      <c r="C80" s="2" t="s">
        <v>19</v>
      </c>
      <c r="D80" s="2" t="s">
        <v>160</v>
      </c>
      <c r="E80" s="2" t="s">
        <v>69</v>
      </c>
      <c r="F80" s="2">
        <v>39</v>
      </c>
      <c r="G80" s="2" t="s">
        <v>29</v>
      </c>
      <c r="H80" s="2" t="s">
        <v>122</v>
      </c>
      <c r="I80" s="18">
        <v>133529</v>
      </c>
      <c r="J80" s="2">
        <v>6</v>
      </c>
      <c r="K80" t="str">
        <f>_xlfn.IFNA(VLOOKUP(TRIM(E80),Doctor_Directory!$A$2:$D$31,2,FALSE),"No name")</f>
        <v>Dr. Yusuf Usman</v>
      </c>
      <c r="L80" t="str">
        <f>VLOOKUP(TRIM(D80),[1]Hospital_Details!$A$2:$D$16,2,FALSE)</f>
        <v>MC-LAG-02</v>
      </c>
      <c r="M80" t="str">
        <f>VLOOKUP(I80,Bill_Tier_Reference!$A$2:$B$5,2,TRUE)</f>
        <v>Tier 3 - Premium</v>
      </c>
      <c r="N80" t="str">
        <f>VLOOKUP(F80,Age_Bracket_Reference!$A$2:$B$6,2,TRUE)</f>
        <v>Adult</v>
      </c>
      <c r="O80" t="str">
        <f>VLOOKUP(C80,State_Coordinator!$A$2:$B$6,2,FALSE)</f>
        <v>Funmilayo Adebayo</v>
      </c>
      <c r="P80" t="str">
        <f>VLOOKUP(L80,[2]Hospital_Details!$B$2:$D$16,3,FALSE)</f>
        <v>Bronze</v>
      </c>
      <c r="Q80" t="str" cm="1">
        <f t="array" ref="Q80">_xlfn.IFS(ISNUMBER(SEARCH("TB", G80)),Protocol_Reference!$B$2, ISNUMBER(SEARCH("Malaria",G80)),Protocol_Reference!$B$3, ISNUMBER(SEARCH("Typhoid",G80)),Protocol_Reference!$B$4, ISNUMBER(SEARCH("Hypertension", G80,)),Protocol_Reference!$B$5, ISNUMBER(SEARCH("Diabetes", G80)),Protocol_Reference!$B$6, ISNUMBER(SEARCH("Cholera", G80)),Protocol_Reference!$B$7, ISNUMBER(SEARCH("Pneumonia", G80)),Protocol_Reference!$B$8, TRUE, "Out of scope/ Routine Care")</f>
        <v>Artemisinin-based Combination Therapy (ACT) - 3-day course</v>
      </c>
      <c r="R80" s="16">
        <f>IFERROR(VLOOKUP(E80,Doctor_Directory!$A$2:$D$31,4,FALSE),"Check Doctor Code")</f>
        <v>9000</v>
      </c>
      <c r="S80" s="6" cm="1">
        <f t="array" ref="S80">_xlfn.XLOOKUP(C80,Insurance_Reimbursement_Matrix!$A$2:$A$6,_xlfn.XLOOKUP(_xlfn.XLOOKUP(F80,Age_Bracket_Reference!$A$2:$A$6,Age_Bracket_Reference!$B$2:$B$6,,-1),Insurance_Reimbursement_Matrix!$B$1:$F$1,Insurance_Reimbursement_Matrix!$B$2:$F$6))</f>
        <v>0.66</v>
      </c>
    </row>
    <row r="81" spans="1:19" x14ac:dyDescent="0.25">
      <c r="A81" s="2" t="s">
        <v>308</v>
      </c>
      <c r="B81" s="2" t="s">
        <v>309</v>
      </c>
      <c r="C81" s="2" t="s">
        <v>12</v>
      </c>
      <c r="D81" s="2" t="s">
        <v>33</v>
      </c>
      <c r="E81" s="2" t="s">
        <v>74</v>
      </c>
      <c r="F81" s="2">
        <v>42</v>
      </c>
      <c r="G81" s="2" t="s">
        <v>129</v>
      </c>
      <c r="H81" s="2" t="s">
        <v>310</v>
      </c>
      <c r="I81" s="18">
        <v>322453</v>
      </c>
      <c r="J81" s="2">
        <v>1</v>
      </c>
      <c r="K81" t="str">
        <f>_xlfn.IFNA(VLOOKUP(TRIM(E81),Doctor_Directory!$A$2:$D$31,2,FALSE),"No name")</f>
        <v>Dr. Oluwaseun Okoye</v>
      </c>
      <c r="L81" t="str">
        <f>VLOOKUP(TRIM(D81),[1]Hospital_Details!$A$2:$D$16,2,FALSE)</f>
        <v>MC-PHC-02</v>
      </c>
      <c r="M81" t="str">
        <f>VLOOKUP(I81,Bill_Tier_Reference!$A$2:$B$5,2,TRUE)</f>
        <v>Tier 4 - Elite</v>
      </c>
      <c r="N81" t="str">
        <f>VLOOKUP(F81,Age_Bracket_Reference!$A$2:$B$6,2,TRUE)</f>
        <v>Adult</v>
      </c>
      <c r="O81" t="str">
        <f>VLOOKUP(C81,State_Coordinator!$A$2:$B$6,2,FALSE)</f>
        <v>Ebiere Amadi</v>
      </c>
      <c r="P81" t="str">
        <f>VLOOKUP(L81,[2]Hospital_Details!$B$2:$D$16,3,FALSE)</f>
        <v>Platinum</v>
      </c>
      <c r="Q81" t="str" cm="1">
        <f t="array" ref="Q81">_xlfn.IFS(ISNUMBER(SEARCH("TB", G81)),Protocol_Reference!$B$2, ISNUMBER(SEARCH("Malaria",G81)),Protocol_Reference!$B$3, ISNUMBER(SEARCH("Typhoid",G81)),Protocol_Reference!$B$4, ISNUMBER(SEARCH("Hypertension", G81,)),Protocol_Reference!$B$5, ISNUMBER(SEARCH("Diabetes", G81)),Protocol_Reference!$B$6, ISNUMBER(SEARCH("Cholera", G81)),Protocol_Reference!$B$7, ISNUMBER(SEARCH("Pneumonia", G81)),Protocol_Reference!$B$8, TRUE, "Out of scope/ Routine Care")</f>
        <v>Artemisinin-based Combination Therapy (ACT) - 3-day course</v>
      </c>
      <c r="R81" s="16">
        <f>IFERROR(VLOOKUP(E81,Doctor_Directory!$A$2:$D$31,4,FALSE),"Check Doctor Code")</f>
        <v>8500</v>
      </c>
      <c r="S81" s="6" cm="1">
        <f t="array" ref="S81">_xlfn.XLOOKUP(C81,Insurance_Reimbursement_Matrix!$A$2:$A$6,_xlfn.XLOOKUP(_xlfn.XLOOKUP(F81,Age_Bracket_Reference!$A$2:$A$6,Age_Bracket_Reference!$B$2:$B$6,,-1),Insurance_Reimbursement_Matrix!$B$1:$F$1,Insurance_Reimbursement_Matrix!$B$2:$F$6))</f>
        <v>0.71</v>
      </c>
    </row>
    <row r="82" spans="1:19" x14ac:dyDescent="0.25">
      <c r="A82" s="2" t="s">
        <v>311</v>
      </c>
      <c r="B82" s="2" t="s">
        <v>312</v>
      </c>
      <c r="C82" s="2" t="s">
        <v>12</v>
      </c>
      <c r="D82" s="2" t="s">
        <v>33</v>
      </c>
      <c r="E82" s="2" t="s">
        <v>180</v>
      </c>
      <c r="F82" s="2">
        <v>84</v>
      </c>
      <c r="G82" s="2" t="s">
        <v>191</v>
      </c>
      <c r="H82" s="2" t="s">
        <v>313</v>
      </c>
      <c r="I82" s="18">
        <v>4213</v>
      </c>
      <c r="J82" s="2">
        <v>14</v>
      </c>
      <c r="K82" t="str">
        <f>_xlfn.IFNA(VLOOKUP(TRIM(E82),Doctor_Directory!$A$2:$D$31,2,FALSE),"No name")</f>
        <v>Dr. Maryam Eneh</v>
      </c>
      <c r="L82" t="str">
        <f>VLOOKUP(TRIM(D82),[1]Hospital_Details!$A$2:$D$16,2,FALSE)</f>
        <v>MC-PHC-02</v>
      </c>
      <c r="M82" t="str">
        <f>VLOOKUP(I82,Bill_Tier_Reference!$A$2:$B$5,2,TRUE)</f>
        <v>Tier 1 - Basic</v>
      </c>
      <c r="N82" t="str">
        <f>VLOOKUP(F82,Age_Bracket_Reference!$A$2:$B$6,2,TRUE)</f>
        <v>Senior</v>
      </c>
      <c r="O82" t="str">
        <f>VLOOKUP(C82,State_Coordinator!$A$2:$B$6,2,FALSE)</f>
        <v>Ebiere Amadi</v>
      </c>
      <c r="P82" t="str">
        <f>VLOOKUP(L82,[2]Hospital_Details!$B$2:$D$16,3,FALSE)</f>
        <v>Platinum</v>
      </c>
      <c r="Q82" t="str" cm="1">
        <f t="array" ref="Q82">_xlfn.IFS(ISNUMBER(SEARCH("TB", G82)),Protocol_Reference!$B$2, ISNUMBER(SEARCH("Malaria",G82)),Protocol_Reference!$B$3, ISNUMBER(SEARCH("Typhoid",G82)),Protocol_Reference!$B$4, ISNUMBER(SEARCH("Hypertension", G82,)),Protocol_Reference!$B$5, ISNUMBER(SEARCH("Diabetes", G82)),Protocol_Reference!$B$6, ISNUMBER(SEARCH("Cholera", G82)),Protocol_Reference!$B$7, ISNUMBER(SEARCH("Pneumonia", G82)),Protocol_Reference!$B$8, TRUE, "Out of scope/ Routine Care")</f>
        <v>Directly Observed Treatment Short-course (DOTS) - 6 month regimen</v>
      </c>
      <c r="R82" s="16">
        <f>IFERROR(VLOOKUP(E82,Doctor_Directory!$A$2:$D$31,4,FALSE),"Check Doctor Code")</f>
        <v>10000</v>
      </c>
      <c r="S82" s="6" cm="1">
        <f t="array" ref="S82">_xlfn.XLOOKUP(C82,Insurance_Reimbursement_Matrix!$A$2:$A$6,_xlfn.XLOOKUP(_xlfn.XLOOKUP(F82,Age_Bracket_Reference!$A$2:$A$6,Age_Bracket_Reference!$B$2:$B$6,,-1),Insurance_Reimbursement_Matrix!$B$1:$F$1,Insurance_Reimbursement_Matrix!$B$2:$F$6))</f>
        <v>0.79</v>
      </c>
    </row>
    <row r="83" spans="1:19" x14ac:dyDescent="0.25">
      <c r="A83" s="2" t="s">
        <v>314</v>
      </c>
      <c r="B83" s="2" t="s">
        <v>315</v>
      </c>
      <c r="C83" s="2" t="s">
        <v>37</v>
      </c>
      <c r="D83" s="2" t="s">
        <v>97</v>
      </c>
      <c r="E83" s="2" t="s">
        <v>134</v>
      </c>
      <c r="F83" s="2">
        <v>19</v>
      </c>
      <c r="G83" s="2" t="s">
        <v>156</v>
      </c>
      <c r="H83" s="2" t="s">
        <v>316</v>
      </c>
      <c r="I83" s="18">
        <v>136537</v>
      </c>
      <c r="J83" s="2">
        <v>10</v>
      </c>
      <c r="K83" t="str">
        <f>_xlfn.IFNA(VLOOKUP(TRIM(E83),Doctor_Directory!$A$2:$D$31,2,FALSE),"No name")</f>
        <v>Dr. Damilola Abubakar</v>
      </c>
      <c r="L83" t="str">
        <f>VLOOKUP(TRIM(D83),[1]Hospital_Details!$A$2:$D$16,2,FALSE)</f>
        <v>MC-ENU-02</v>
      </c>
      <c r="M83" t="str">
        <f>VLOOKUP(I83,Bill_Tier_Reference!$A$2:$B$5,2,TRUE)</f>
        <v>Tier 3 - Premium</v>
      </c>
      <c r="N83" t="str">
        <f>VLOOKUP(F83,Age_Bracket_Reference!$A$2:$B$6,2,TRUE)</f>
        <v>Young Adult</v>
      </c>
      <c r="O83" t="str">
        <f>VLOOKUP(C83,State_Coordinator!$A$2:$B$6,2,FALSE)</f>
        <v>Chidiebere Okoro</v>
      </c>
      <c r="P83" t="str">
        <f>VLOOKUP(L83,[2]Hospital_Details!$B$2:$D$16,3,FALSE)</f>
        <v>Bronze</v>
      </c>
      <c r="Q83" t="str" cm="1">
        <f t="array" ref="Q83">_xlfn.IFS(ISNUMBER(SEARCH("TB", G83)),Protocol_Reference!$B$2, ISNUMBER(SEARCH("Malaria",G83)),Protocol_Reference!$B$3, ISNUMBER(SEARCH("Typhoid",G83)),Protocol_Reference!$B$4, ISNUMBER(SEARCH("Hypertension", G83,)),Protocol_Reference!$B$5, ISNUMBER(SEARCH("Diabetes", G83)),Protocol_Reference!$B$6, ISNUMBER(SEARCH("Cholera", G83)),Protocol_Reference!$B$7, ISNUMBER(SEARCH("Pneumonia", G83)),Protocol_Reference!$B$8, TRUE, "Out of scope/ Routine Care")</f>
        <v>Metformin 500mg twice daily + dietary counselling</v>
      </c>
      <c r="R83" s="16">
        <f>IFERROR(VLOOKUP(E83,Doctor_Directory!$A$2:$D$31,4,FALSE),"Check Doctor Code")</f>
        <v>4000</v>
      </c>
      <c r="S83" s="6" cm="1">
        <f t="array" ref="S83">_xlfn.XLOOKUP(C83,Insurance_Reimbursement_Matrix!$A$2:$A$6,_xlfn.XLOOKUP(_xlfn.XLOOKUP(F83,Age_Bracket_Reference!$A$2:$A$6,Age_Bracket_Reference!$B$2:$B$6,,-1),Insurance_Reimbursement_Matrix!$B$1:$F$1,Insurance_Reimbursement_Matrix!$B$2:$F$6))</f>
        <v>0.69</v>
      </c>
    </row>
    <row r="84" spans="1:19" x14ac:dyDescent="0.25">
      <c r="A84" s="2" t="s">
        <v>317</v>
      </c>
      <c r="B84" s="2" t="s">
        <v>318</v>
      </c>
      <c r="C84" s="2" t="s">
        <v>19</v>
      </c>
      <c r="D84" s="2" t="s">
        <v>160</v>
      </c>
      <c r="E84" s="2" t="s">
        <v>319</v>
      </c>
      <c r="F84" s="2">
        <v>87</v>
      </c>
      <c r="G84" s="2" t="s">
        <v>151</v>
      </c>
      <c r="H84" s="2" t="s">
        <v>41</v>
      </c>
      <c r="I84" s="18">
        <v>13376</v>
      </c>
      <c r="J84" s="2">
        <v>10</v>
      </c>
      <c r="K84" t="str">
        <f>_xlfn.IFNA(VLOOKUP(TRIM(E84),Doctor_Directory!$A$2:$D$31,2,FALSE),"No name")</f>
        <v>Dr. Kayode Suleiman</v>
      </c>
      <c r="L84" t="str">
        <f>VLOOKUP(TRIM(D84),[1]Hospital_Details!$A$2:$D$16,2,FALSE)</f>
        <v>MC-LAG-02</v>
      </c>
      <c r="M84" t="str">
        <f>VLOOKUP(I84,Bill_Tier_Reference!$A$2:$B$5,2,TRUE)</f>
        <v>Tier 1 - Basic</v>
      </c>
      <c r="N84" t="str">
        <f>VLOOKUP(F84,Age_Bracket_Reference!$A$2:$B$6,2,TRUE)</f>
        <v>Senior</v>
      </c>
      <c r="O84" t="str">
        <f>VLOOKUP(C84,State_Coordinator!$A$2:$B$6,2,FALSE)</f>
        <v>Funmilayo Adebayo</v>
      </c>
      <c r="P84" t="str">
        <f>VLOOKUP(L84,[2]Hospital_Details!$B$2:$D$16,3,FALSE)</f>
        <v>Bronze</v>
      </c>
      <c r="Q84" t="str" cm="1">
        <f t="array" ref="Q84">_xlfn.IFS(ISNUMBER(SEARCH("TB", G84)),Protocol_Reference!$B$2, ISNUMBER(SEARCH("Malaria",G84)),Protocol_Reference!$B$3, ISNUMBER(SEARCH("Typhoid",G84)),Protocol_Reference!$B$4, ISNUMBER(SEARCH("Hypertension", G84,)),Protocol_Reference!$B$5, ISNUMBER(SEARCH("Diabetes", G84)),Protocol_Reference!$B$6, ISNUMBER(SEARCH("Cholera", G84)),Protocol_Reference!$B$7, ISNUMBER(SEARCH("Pneumonia", G84)),Protocol_Reference!$B$8, TRUE, "Out of scope/ Routine Care")</f>
        <v>Amoxicillin-Clavulanate 625mg three times daily for 7 days</v>
      </c>
      <c r="R84" s="16">
        <f>IFERROR(VLOOKUP(E84,Doctor_Directory!$A$2:$D$31,4,FALSE),"Check Doctor Code")</f>
        <v>9000</v>
      </c>
      <c r="S84" s="6" cm="1">
        <f t="array" ref="S84">_xlfn.XLOOKUP(C84,Insurance_Reimbursement_Matrix!$A$2:$A$6,_xlfn.XLOOKUP(_xlfn.XLOOKUP(F84,Age_Bracket_Reference!$A$2:$A$6,Age_Bracket_Reference!$B$2:$B$6,,-1),Insurance_Reimbursement_Matrix!$B$1:$F$1,Insurance_Reimbursement_Matrix!$B$2:$F$6))</f>
        <v>0.8</v>
      </c>
    </row>
    <row r="85" spans="1:19" x14ac:dyDescent="0.25">
      <c r="A85" s="2" t="s">
        <v>320</v>
      </c>
      <c r="B85" s="2" t="s">
        <v>321</v>
      </c>
      <c r="C85" s="2" t="s">
        <v>26</v>
      </c>
      <c r="D85" s="2" t="s">
        <v>150</v>
      </c>
      <c r="E85" s="2" t="s">
        <v>69</v>
      </c>
      <c r="F85" s="2">
        <v>12</v>
      </c>
      <c r="G85" s="2" t="s">
        <v>156</v>
      </c>
      <c r="H85" s="2" t="s">
        <v>272</v>
      </c>
      <c r="I85" s="18">
        <v>6293</v>
      </c>
      <c r="J85" s="2">
        <v>1</v>
      </c>
      <c r="K85" t="str">
        <f>_xlfn.IFNA(VLOOKUP(TRIM(E85),Doctor_Directory!$A$2:$D$31,2,FALSE),"No name")</f>
        <v>Dr. Yusuf Usman</v>
      </c>
      <c r="L85" t="str">
        <f>VLOOKUP(TRIM(D85),[1]Hospital_Details!$A$2:$D$16,2,FALSE)</f>
        <v>MC-KAN-01</v>
      </c>
      <c r="M85" t="str">
        <f>VLOOKUP(I85,Bill_Tier_Reference!$A$2:$B$5,2,TRUE)</f>
        <v>Tier 1 - Basic</v>
      </c>
      <c r="N85" t="str">
        <f>VLOOKUP(F85,Age_Bracket_Reference!$A$2:$B$6,2,TRUE)</f>
        <v>Child</v>
      </c>
      <c r="O85" t="str">
        <f>VLOOKUP(C85,State_Coordinator!$A$2:$B$6,2,FALSE)</f>
        <v>Hauwa Mustapha</v>
      </c>
      <c r="P85" t="str">
        <f>VLOOKUP(L85,[2]Hospital_Details!$B$2:$D$16,3,FALSE)</f>
        <v>Silver</v>
      </c>
      <c r="Q85" t="str" cm="1">
        <f t="array" ref="Q85">_xlfn.IFS(ISNUMBER(SEARCH("TB", G85)),Protocol_Reference!$B$2, ISNUMBER(SEARCH("Malaria",G85)),Protocol_Reference!$B$3, ISNUMBER(SEARCH("Typhoid",G85)),Protocol_Reference!$B$4, ISNUMBER(SEARCH("Hypertension", G85,)),Protocol_Reference!$B$5, ISNUMBER(SEARCH("Diabetes", G85)),Protocol_Reference!$B$6, ISNUMBER(SEARCH("Cholera", G85)),Protocol_Reference!$B$7, ISNUMBER(SEARCH("Pneumonia", G85)),Protocol_Reference!$B$8, TRUE, "Out of scope/ Routine Care")</f>
        <v>Metformin 500mg twice daily + dietary counselling</v>
      </c>
      <c r="R85" s="16">
        <f>IFERROR(VLOOKUP(E85,Doctor_Directory!$A$2:$D$31,4,FALSE),"Check Doctor Code")</f>
        <v>9000</v>
      </c>
      <c r="S85" s="6" cm="1">
        <f t="array" ref="S85">_xlfn.XLOOKUP(C85,Insurance_Reimbursement_Matrix!$A$2:$A$6,_xlfn.XLOOKUP(_xlfn.XLOOKUP(F85,Age_Bracket_Reference!$A$2:$A$6,Age_Bracket_Reference!$B$2:$B$6,,-1),Insurance_Reimbursement_Matrix!$B$1:$F$1,Insurance_Reimbursement_Matrix!$B$2:$F$6))</f>
        <v>0.81</v>
      </c>
    </row>
    <row r="86" spans="1:19" x14ac:dyDescent="0.25">
      <c r="A86" s="2" t="s">
        <v>322</v>
      </c>
      <c r="B86" s="2" t="s">
        <v>323</v>
      </c>
      <c r="C86" s="2" t="s">
        <v>26</v>
      </c>
      <c r="D86" s="2" t="s">
        <v>115</v>
      </c>
      <c r="E86" s="2" t="s">
        <v>324</v>
      </c>
      <c r="F86" s="2">
        <v>56</v>
      </c>
      <c r="G86" s="2" t="s">
        <v>191</v>
      </c>
      <c r="H86" s="2" t="s">
        <v>164</v>
      </c>
      <c r="I86" s="18">
        <v>57088</v>
      </c>
      <c r="J86" s="2">
        <v>3</v>
      </c>
      <c r="K86" t="str">
        <f>_xlfn.IFNA(VLOOKUP(TRIM(E86),Doctor_Directory!$A$2:$D$31,2,FALSE),"No name")</f>
        <v>Dr. Ifeoma Ibe</v>
      </c>
      <c r="L86" t="str">
        <f>VLOOKUP(TRIM(D86),[1]Hospital_Details!$A$2:$D$16,2,FALSE)</f>
        <v>MC-KAN-02</v>
      </c>
      <c r="M86" t="str">
        <f>VLOOKUP(I86,Bill_Tier_Reference!$A$2:$B$5,2,TRUE)</f>
        <v>Tier 2 - Standard</v>
      </c>
      <c r="N86" t="str">
        <f>VLOOKUP(F86,Age_Bracket_Reference!$A$2:$B$6,2,TRUE)</f>
        <v>Adult</v>
      </c>
      <c r="O86" t="str">
        <f>VLOOKUP(C86,State_Coordinator!$A$2:$B$6,2,FALSE)</f>
        <v>Hauwa Mustapha</v>
      </c>
      <c r="P86" t="str">
        <f>VLOOKUP(L86,[2]Hospital_Details!$B$2:$D$16,3,FALSE)</f>
        <v>Bronze</v>
      </c>
      <c r="Q86" t="str" cm="1">
        <f t="array" ref="Q86">_xlfn.IFS(ISNUMBER(SEARCH("TB", G86)),Protocol_Reference!$B$2, ISNUMBER(SEARCH("Malaria",G86)),Protocol_Reference!$B$3, ISNUMBER(SEARCH("Typhoid",G86)),Protocol_Reference!$B$4, ISNUMBER(SEARCH("Hypertension", G86,)),Protocol_Reference!$B$5, ISNUMBER(SEARCH("Diabetes", G86)),Protocol_Reference!$B$6, ISNUMBER(SEARCH("Cholera", G86)),Protocol_Reference!$B$7, ISNUMBER(SEARCH("Pneumonia", G86)),Protocol_Reference!$B$8, TRUE, "Out of scope/ Routine Care")</f>
        <v>Directly Observed Treatment Short-course (DOTS) - 6 month regimen</v>
      </c>
      <c r="R86" s="16">
        <f>IFERROR(VLOOKUP(E86,Doctor_Directory!$A$2:$D$31,4,FALSE),"Check Doctor Code")</f>
        <v>4000</v>
      </c>
      <c r="S86" s="6" cm="1">
        <f t="array" ref="S86">_xlfn.XLOOKUP(C86,Insurance_Reimbursement_Matrix!$A$2:$A$6,_xlfn.XLOOKUP(_xlfn.XLOOKUP(F86,Age_Bracket_Reference!$A$2:$A$6,Age_Bracket_Reference!$B$2:$B$6,,-1),Insurance_Reimbursement_Matrix!$B$1:$F$1,Insurance_Reimbursement_Matrix!$B$2:$F$6))</f>
        <v>0.73</v>
      </c>
    </row>
    <row r="87" spans="1:19" x14ac:dyDescent="0.25">
      <c r="A87" s="2" t="s">
        <v>325</v>
      </c>
      <c r="B87" s="2" t="s">
        <v>326</v>
      </c>
      <c r="C87" s="2" t="s">
        <v>12</v>
      </c>
      <c r="D87" s="2" t="s">
        <v>217</v>
      </c>
      <c r="E87" s="2" t="s">
        <v>180</v>
      </c>
      <c r="F87" s="2">
        <v>31</v>
      </c>
      <c r="G87" s="2" t="s">
        <v>111</v>
      </c>
      <c r="H87" s="2" t="s">
        <v>122</v>
      </c>
      <c r="I87" s="18">
        <v>333157</v>
      </c>
      <c r="J87" s="2">
        <v>5</v>
      </c>
      <c r="K87" t="str">
        <f>_xlfn.IFNA(VLOOKUP(TRIM(E87),Doctor_Directory!$A$2:$D$31,2,FALSE),"No name")</f>
        <v>Dr. Maryam Eneh</v>
      </c>
      <c r="L87" t="str">
        <f>VLOOKUP(TRIM(D87),[1]Hospital_Details!$A$2:$D$16,2,FALSE)</f>
        <v>MC-PHC-03</v>
      </c>
      <c r="M87" t="str">
        <f>VLOOKUP(I87,Bill_Tier_Reference!$A$2:$B$5,2,TRUE)</f>
        <v>Tier 4 - Elite</v>
      </c>
      <c r="N87" t="str">
        <f>VLOOKUP(F87,Age_Bracket_Reference!$A$2:$B$6,2,TRUE)</f>
        <v>Young Adult</v>
      </c>
      <c r="O87" t="str">
        <f>VLOOKUP(C87,State_Coordinator!$A$2:$B$6,2,FALSE)</f>
        <v>Ebiere Amadi</v>
      </c>
      <c r="P87" t="str">
        <f>VLOOKUP(L87,[2]Hospital_Details!$B$2:$D$16,3,FALSE)</f>
        <v>Platinum</v>
      </c>
      <c r="Q87" t="str" cm="1">
        <f t="array" ref="Q87">_xlfn.IFS(ISNUMBER(SEARCH("TB", G87)),Protocol_Reference!$B$2, ISNUMBER(SEARCH("Malaria",G87)),Protocol_Reference!$B$3, ISNUMBER(SEARCH("Typhoid",G87)),Protocol_Reference!$B$4, ISNUMBER(SEARCH("Hypertension", G87,)),Protocol_Reference!$B$5, ISNUMBER(SEARCH("Diabetes", G87)),Protocol_Reference!$B$6, ISNUMBER(SEARCH("Cholera", G87)),Protocol_Reference!$B$7, ISNUMBER(SEARCH("Pneumonia", G87)),Protocol_Reference!$B$8, TRUE, "Out of scope/ Routine Care")</f>
        <v>Oral Rehydration Therapy + Doxycycline</v>
      </c>
      <c r="R87" s="16">
        <f>IFERROR(VLOOKUP(E87,Doctor_Directory!$A$2:$D$31,4,FALSE),"Check Doctor Code")</f>
        <v>10000</v>
      </c>
      <c r="S87" s="6" cm="1">
        <f t="array" ref="S87">_xlfn.XLOOKUP(C87,Insurance_Reimbursement_Matrix!$A$2:$A$6,_xlfn.XLOOKUP(_xlfn.XLOOKUP(F87,Age_Bracket_Reference!$A$2:$A$6,Age_Bracket_Reference!$B$2:$B$6,,-1),Insurance_Reimbursement_Matrix!$B$1:$F$1,Insurance_Reimbursement_Matrix!$B$2:$F$6))</f>
        <v>0.69</v>
      </c>
    </row>
    <row r="88" spans="1:19" x14ac:dyDescent="0.25">
      <c r="A88" s="2" t="s">
        <v>327</v>
      </c>
      <c r="B88" s="2" t="s">
        <v>328</v>
      </c>
      <c r="C88" s="2" t="s">
        <v>12</v>
      </c>
      <c r="D88" s="2" t="s">
        <v>33</v>
      </c>
      <c r="E88" s="2" t="s">
        <v>180</v>
      </c>
      <c r="F88" s="2">
        <v>70</v>
      </c>
      <c r="G88" s="2" t="s">
        <v>329</v>
      </c>
      <c r="H88" s="2" t="s">
        <v>94</v>
      </c>
      <c r="I88" s="18">
        <v>356842</v>
      </c>
      <c r="J88" s="2">
        <v>12</v>
      </c>
      <c r="K88" t="str">
        <f>_xlfn.IFNA(VLOOKUP(TRIM(E88),Doctor_Directory!$A$2:$D$31,2,FALSE),"No name")</f>
        <v>Dr. Maryam Eneh</v>
      </c>
      <c r="L88" t="str">
        <f>VLOOKUP(TRIM(D88),[1]Hospital_Details!$A$2:$D$16,2,FALSE)</f>
        <v>MC-PHC-02</v>
      </c>
      <c r="M88" t="str">
        <f>VLOOKUP(I88,Bill_Tier_Reference!$A$2:$B$5,2,TRUE)</f>
        <v>Tier 4 - Elite</v>
      </c>
      <c r="N88" t="str">
        <f>VLOOKUP(F88,Age_Bracket_Reference!$A$2:$B$6,2,TRUE)</f>
        <v>Senior</v>
      </c>
      <c r="O88" t="str">
        <f>VLOOKUP(C88,State_Coordinator!$A$2:$B$6,2,FALSE)</f>
        <v>Ebiere Amadi</v>
      </c>
      <c r="P88" t="str">
        <f>VLOOKUP(L88,[2]Hospital_Details!$B$2:$D$16,3,FALSE)</f>
        <v>Platinum</v>
      </c>
      <c r="Q88" t="str" cm="1">
        <f t="array" ref="Q88">_xlfn.IFS(ISNUMBER(SEARCH("TB", G88)),Protocol_Reference!$B$2, ISNUMBER(SEARCH("Malaria",G88)),Protocol_Reference!$B$3, ISNUMBER(SEARCH("Typhoid",G88)),Protocol_Reference!$B$4, ISNUMBER(SEARCH("Hypertension", G88,)),Protocol_Reference!$B$5, ISNUMBER(SEARCH("Diabetes", G88)),Protocol_Reference!$B$6, ISNUMBER(SEARCH("Cholera", G88)),Protocol_Reference!$B$7, ISNUMBER(SEARCH("Pneumonia", G88)),Protocol_Reference!$B$8, TRUE, "Out of scope/ Routine Care")</f>
        <v>Artemisinin-based Combination Therapy (ACT) - 3-day course</v>
      </c>
      <c r="R88" s="16">
        <f>IFERROR(VLOOKUP(E88,Doctor_Directory!$A$2:$D$31,4,FALSE),"Check Doctor Code")</f>
        <v>10000</v>
      </c>
      <c r="S88" s="6" cm="1">
        <f t="array" ref="S88">_xlfn.XLOOKUP(C88,Insurance_Reimbursement_Matrix!$A$2:$A$6,_xlfn.XLOOKUP(_xlfn.XLOOKUP(F88,Age_Bracket_Reference!$A$2:$A$6,Age_Bracket_Reference!$B$2:$B$6,,-1),Insurance_Reimbursement_Matrix!$B$1:$F$1,Insurance_Reimbursement_Matrix!$B$2:$F$6))</f>
        <v>0.79</v>
      </c>
    </row>
    <row r="89" spans="1:19" x14ac:dyDescent="0.25">
      <c r="A89" s="2" t="s">
        <v>330</v>
      </c>
      <c r="B89" s="2" t="s">
        <v>331</v>
      </c>
      <c r="C89" s="2" t="s">
        <v>26</v>
      </c>
      <c r="D89" s="2" t="s">
        <v>150</v>
      </c>
      <c r="E89" s="2" t="s">
        <v>21</v>
      </c>
      <c r="F89" s="2">
        <v>62</v>
      </c>
      <c r="G89" s="2" t="s">
        <v>59</v>
      </c>
      <c r="H89" s="2" t="s">
        <v>125</v>
      </c>
      <c r="I89" s="18">
        <v>122049</v>
      </c>
      <c r="J89" s="2">
        <v>1</v>
      </c>
      <c r="K89" t="str">
        <f>_xlfn.IFNA(VLOOKUP(TRIM(E89),Doctor_Directory!$A$2:$D$31,2,FALSE),"No name")</f>
        <v>Dr. Amaka Nwosu</v>
      </c>
      <c r="L89" t="str">
        <f>VLOOKUP(TRIM(D89),[1]Hospital_Details!$A$2:$D$16,2,FALSE)</f>
        <v>MC-KAN-01</v>
      </c>
      <c r="M89" t="str">
        <f>VLOOKUP(I89,Bill_Tier_Reference!$A$2:$B$5,2,TRUE)</f>
        <v>Tier 3 - Premium</v>
      </c>
      <c r="N89" t="str">
        <f>VLOOKUP(F89,Age_Bracket_Reference!$A$2:$B$6,2,TRUE)</f>
        <v>Senior</v>
      </c>
      <c r="O89" t="str">
        <f>VLOOKUP(C89,State_Coordinator!$A$2:$B$6,2,FALSE)</f>
        <v>Hauwa Mustapha</v>
      </c>
      <c r="P89" t="str">
        <f>VLOOKUP(L89,[2]Hospital_Details!$B$2:$D$16,3,FALSE)</f>
        <v>Silver</v>
      </c>
      <c r="Q89" t="str" cm="1">
        <f t="array" ref="Q89">_xlfn.IFS(ISNUMBER(SEARCH("TB", G89)),Protocol_Reference!$B$2, ISNUMBER(SEARCH("Malaria",G89)),Protocol_Reference!$B$3, ISNUMBER(SEARCH("Typhoid",G89)),Protocol_Reference!$B$4, ISNUMBER(SEARCH("Hypertension", G89,)),Protocol_Reference!$B$5, ISNUMBER(SEARCH("Diabetes", G89)),Protocol_Reference!$B$6, ISNUMBER(SEARCH("Cholera", G89)),Protocol_Reference!$B$7, ISNUMBER(SEARCH("Pneumonia", G89)),Protocol_Reference!$B$8, TRUE, "Out of scope/ Routine Care")</f>
        <v>Directly Observed Treatment Short-course (DOTS) - 6 month regimen</v>
      </c>
      <c r="R89" s="16">
        <f>IFERROR(VLOOKUP(E89,Doctor_Directory!$A$2:$D$31,4,FALSE),"Check Doctor Code")</f>
        <v>5500</v>
      </c>
      <c r="S89" s="6" cm="1">
        <f t="array" ref="S89">_xlfn.XLOOKUP(C89,Insurance_Reimbursement_Matrix!$A$2:$A$6,_xlfn.XLOOKUP(_xlfn.XLOOKUP(F89,Age_Bracket_Reference!$A$2:$A$6,Age_Bracket_Reference!$B$2:$B$6,,-1),Insurance_Reimbursement_Matrix!$B$1:$F$1,Insurance_Reimbursement_Matrix!$B$2:$F$6))</f>
        <v>0.76</v>
      </c>
    </row>
    <row r="90" spans="1:19" x14ac:dyDescent="0.25">
      <c r="A90" s="2" t="s">
        <v>332</v>
      </c>
      <c r="B90" s="2" t="s">
        <v>333</v>
      </c>
      <c r="C90" s="2" t="s">
        <v>26</v>
      </c>
      <c r="D90" s="2" t="s">
        <v>150</v>
      </c>
      <c r="E90" s="2" t="s">
        <v>218</v>
      </c>
      <c r="F90" s="2">
        <v>88</v>
      </c>
      <c r="G90" s="2" t="s">
        <v>85</v>
      </c>
      <c r="H90" s="2" t="s">
        <v>267</v>
      </c>
      <c r="I90" s="18">
        <v>74580</v>
      </c>
      <c r="J90" s="2">
        <v>10</v>
      </c>
      <c r="K90" t="str">
        <f>_xlfn.IFNA(VLOOKUP(TRIM(E90),Doctor_Directory!$A$2:$D$31,2,FALSE),"No name")</f>
        <v>Dr. Ronke Eze</v>
      </c>
      <c r="L90" t="str">
        <f>VLOOKUP(TRIM(D90),[1]Hospital_Details!$A$2:$D$16,2,FALSE)</f>
        <v>MC-KAN-01</v>
      </c>
      <c r="M90" t="str">
        <f>VLOOKUP(I90,Bill_Tier_Reference!$A$2:$B$5,2,TRUE)</f>
        <v>Tier 2 - Standard</v>
      </c>
      <c r="N90" t="str">
        <f>VLOOKUP(F90,Age_Bracket_Reference!$A$2:$B$6,2,TRUE)</f>
        <v>Senior</v>
      </c>
      <c r="O90" t="str">
        <f>VLOOKUP(C90,State_Coordinator!$A$2:$B$6,2,FALSE)</f>
        <v>Hauwa Mustapha</v>
      </c>
      <c r="P90" t="str">
        <f>VLOOKUP(L90,[2]Hospital_Details!$B$2:$D$16,3,FALSE)</f>
        <v>Silver</v>
      </c>
      <c r="Q90" t="str" cm="1">
        <f t="array" ref="Q90">_xlfn.IFS(ISNUMBER(SEARCH("TB", G90)),Protocol_Reference!$B$2, ISNUMBER(SEARCH("Malaria",G90)),Protocol_Reference!$B$3, ISNUMBER(SEARCH("Typhoid",G90)),Protocol_Reference!$B$4, ISNUMBER(SEARCH("Hypertension", G90,)),Protocol_Reference!$B$5, ISNUMBER(SEARCH("Diabetes", G90)),Protocol_Reference!$B$6, ISNUMBER(SEARCH("Cholera", G90)),Protocol_Reference!$B$7, ISNUMBER(SEARCH("Pneumonia", G90)),Protocol_Reference!$B$8, TRUE, "Out of scope/ Routine Care")</f>
        <v>Artemisinin-based Combination Therapy (ACT) - 3-day course</v>
      </c>
      <c r="R90" s="16">
        <f>IFERROR(VLOOKUP(E90,Doctor_Directory!$A$2:$D$31,4,FALSE),"Check Doctor Code")</f>
        <v>3500</v>
      </c>
      <c r="S90" s="6" cm="1">
        <f t="array" ref="S90">_xlfn.XLOOKUP(C90,Insurance_Reimbursement_Matrix!$A$2:$A$6,_xlfn.XLOOKUP(_xlfn.XLOOKUP(F90,Age_Bracket_Reference!$A$2:$A$6,Age_Bracket_Reference!$B$2:$B$6,,-1),Insurance_Reimbursement_Matrix!$B$1:$F$1,Insurance_Reimbursement_Matrix!$B$2:$F$6))</f>
        <v>0.76</v>
      </c>
    </row>
    <row r="91" spans="1:19" x14ac:dyDescent="0.25">
      <c r="A91" s="2" t="s">
        <v>334</v>
      </c>
      <c r="B91" s="2" t="s">
        <v>335</v>
      </c>
      <c r="C91" s="2" t="s">
        <v>44</v>
      </c>
      <c r="D91" s="2" t="s">
        <v>186</v>
      </c>
      <c r="E91" s="2" t="s">
        <v>142</v>
      </c>
      <c r="F91" s="2">
        <v>87</v>
      </c>
      <c r="G91" s="2" t="s">
        <v>85</v>
      </c>
      <c r="H91" s="2" t="s">
        <v>336</v>
      </c>
      <c r="I91" s="18">
        <v>87735</v>
      </c>
      <c r="J91" s="2">
        <v>13</v>
      </c>
      <c r="K91" t="str">
        <f>_xlfn.IFNA(VLOOKUP(TRIM(E91),Doctor_Directory!$A$2:$D$31,2,FALSE),"No name")</f>
        <v>Dr. Bukola Ajayi</v>
      </c>
      <c r="L91" t="str">
        <f>VLOOKUP(TRIM(D91),[1]Hospital_Details!$A$2:$D$16,2,FALSE)</f>
        <v>MC-ABJ-03</v>
      </c>
      <c r="M91" t="str">
        <f>VLOOKUP(I91,Bill_Tier_Reference!$A$2:$B$5,2,TRUE)</f>
        <v>Tier 3 - Premium</v>
      </c>
      <c r="N91" t="str">
        <f>VLOOKUP(F91,Age_Bracket_Reference!$A$2:$B$6,2,TRUE)</f>
        <v>Senior</v>
      </c>
      <c r="O91" t="str">
        <f>VLOOKUP(C91,State_Coordinator!$A$2:$B$6,2,FALSE)</f>
        <v>Ibrahim Garba</v>
      </c>
      <c r="P91" t="str">
        <f>VLOOKUP(L91,[2]Hospital_Details!$B$2:$D$16,3,FALSE)</f>
        <v>Silver</v>
      </c>
      <c r="Q91" t="str" cm="1">
        <f t="array" ref="Q91">_xlfn.IFS(ISNUMBER(SEARCH("TB", G91)),Protocol_Reference!$B$2, ISNUMBER(SEARCH("Malaria",G91)),Protocol_Reference!$B$3, ISNUMBER(SEARCH("Typhoid",G91)),Protocol_Reference!$B$4, ISNUMBER(SEARCH("Hypertension", G91,)),Protocol_Reference!$B$5, ISNUMBER(SEARCH("Diabetes", G91)),Protocol_Reference!$B$6, ISNUMBER(SEARCH("Cholera", G91)),Protocol_Reference!$B$7, ISNUMBER(SEARCH("Pneumonia", G91)),Protocol_Reference!$B$8, TRUE, "Out of scope/ Routine Care")</f>
        <v>Artemisinin-based Combination Therapy (ACT) - 3-day course</v>
      </c>
      <c r="R91" s="16">
        <f>IFERROR(VLOOKUP(E91,Doctor_Directory!$A$2:$D$31,4,FALSE),"Check Doctor Code")</f>
        <v>7000</v>
      </c>
      <c r="S91" s="6" cm="1">
        <f t="array" ref="S91">_xlfn.XLOOKUP(C91,Insurance_Reimbursement_Matrix!$A$2:$A$6,_xlfn.XLOOKUP(_xlfn.XLOOKUP(F91,Age_Bracket_Reference!$A$2:$A$6,Age_Bracket_Reference!$B$2:$B$6,,-1),Insurance_Reimbursement_Matrix!$B$1:$F$1,Insurance_Reimbursement_Matrix!$B$2:$F$6))</f>
        <v>0.79</v>
      </c>
    </row>
    <row r="92" spans="1:19" x14ac:dyDescent="0.25">
      <c r="A92" s="2" t="s">
        <v>337</v>
      </c>
      <c r="B92" s="2" t="s">
        <v>338</v>
      </c>
      <c r="C92" s="2" t="s">
        <v>37</v>
      </c>
      <c r="D92" s="2" t="s">
        <v>97</v>
      </c>
      <c r="E92" s="2" t="s">
        <v>69</v>
      </c>
      <c r="F92" s="2">
        <v>17</v>
      </c>
      <c r="G92" s="2" t="s">
        <v>81</v>
      </c>
      <c r="H92" s="2" t="s">
        <v>339</v>
      </c>
      <c r="I92" s="18">
        <v>68986</v>
      </c>
      <c r="J92" s="2">
        <v>3</v>
      </c>
      <c r="K92" t="str">
        <f>_xlfn.IFNA(VLOOKUP(TRIM(E92),Doctor_Directory!$A$2:$D$31,2,FALSE),"No name")</f>
        <v>Dr. Yusuf Usman</v>
      </c>
      <c r="L92" t="str">
        <f>VLOOKUP(TRIM(D92),[1]Hospital_Details!$A$2:$D$16,2,FALSE)</f>
        <v>MC-ENU-02</v>
      </c>
      <c r="M92" t="str">
        <f>VLOOKUP(I92,Bill_Tier_Reference!$A$2:$B$5,2,TRUE)</f>
        <v>Tier 2 - Standard</v>
      </c>
      <c r="N92" t="str">
        <f>VLOOKUP(F92,Age_Bracket_Reference!$A$2:$B$6,2,TRUE)</f>
        <v>Teen</v>
      </c>
      <c r="O92" t="str">
        <f>VLOOKUP(C92,State_Coordinator!$A$2:$B$6,2,FALSE)</f>
        <v>Chidiebere Okoro</v>
      </c>
      <c r="P92" t="str">
        <f>VLOOKUP(L92,[2]Hospital_Details!$B$2:$D$16,3,FALSE)</f>
        <v>Bronze</v>
      </c>
      <c r="Q92" t="str" cm="1">
        <f t="array" ref="Q92">_xlfn.IFS(ISNUMBER(SEARCH("TB", G92)),Protocol_Reference!$B$2, ISNUMBER(SEARCH("Malaria",G92)),Protocol_Reference!$B$3, ISNUMBER(SEARCH("Typhoid",G92)),Protocol_Reference!$B$4, ISNUMBER(SEARCH("Hypertension", G92,)),Protocol_Reference!$B$5, ISNUMBER(SEARCH("Diabetes", G92)),Protocol_Reference!$B$6, ISNUMBER(SEARCH("Cholera", G92)),Protocol_Reference!$B$7, ISNUMBER(SEARCH("Pneumonia", G92)),Protocol_Reference!$B$8, TRUE, "Out of scope/ Routine Care")</f>
        <v>Directly Observed Treatment Short-course (DOTS) - 6 month regimen</v>
      </c>
      <c r="R92" s="16">
        <f>IFERROR(VLOOKUP(E92,Doctor_Directory!$A$2:$D$31,4,FALSE),"Check Doctor Code")</f>
        <v>9000</v>
      </c>
      <c r="S92" s="6" cm="1">
        <f t="array" ref="S92">_xlfn.XLOOKUP(C92,Insurance_Reimbursement_Matrix!$A$2:$A$6,_xlfn.XLOOKUP(_xlfn.XLOOKUP(F92,Age_Bracket_Reference!$A$2:$A$6,Age_Bracket_Reference!$B$2:$B$6,,-1),Insurance_Reimbursement_Matrix!$B$1:$F$1,Insurance_Reimbursement_Matrix!$B$2:$F$6))</f>
        <v>0.7</v>
      </c>
    </row>
    <row r="93" spans="1:19" x14ac:dyDescent="0.25">
      <c r="A93" s="2" t="s">
        <v>340</v>
      </c>
      <c r="B93" s="2" t="s">
        <v>341</v>
      </c>
      <c r="C93" s="2" t="s">
        <v>37</v>
      </c>
      <c r="D93" s="2" t="s">
        <v>38</v>
      </c>
      <c r="E93" s="2" t="s">
        <v>74</v>
      </c>
      <c r="F93" s="2">
        <v>35</v>
      </c>
      <c r="G93" s="2" t="s">
        <v>329</v>
      </c>
      <c r="H93" s="2" t="s">
        <v>254</v>
      </c>
      <c r="I93" s="18">
        <v>18789</v>
      </c>
      <c r="J93" s="2">
        <v>8</v>
      </c>
      <c r="K93" t="str">
        <f>_xlfn.IFNA(VLOOKUP(TRIM(E93),Doctor_Directory!$A$2:$D$31,2,FALSE),"No name")</f>
        <v>Dr. Oluwaseun Okoye</v>
      </c>
      <c r="L93" t="str">
        <f>VLOOKUP(TRIM(D93),[1]Hospital_Details!$A$2:$D$16,2,FALSE)</f>
        <v>MC-ENU-03</v>
      </c>
      <c r="M93" t="str">
        <f>VLOOKUP(I93,Bill_Tier_Reference!$A$2:$B$5,2,TRUE)</f>
        <v>Tier 1 - Basic</v>
      </c>
      <c r="N93" t="str">
        <f>VLOOKUP(F93,Age_Bracket_Reference!$A$2:$B$6,2,TRUE)</f>
        <v>Adult</v>
      </c>
      <c r="O93" t="str">
        <f>VLOOKUP(C93,State_Coordinator!$A$2:$B$6,2,FALSE)</f>
        <v>Chidiebere Okoro</v>
      </c>
      <c r="P93" t="str">
        <f>VLOOKUP(L93,[2]Hospital_Details!$B$2:$D$16,3,FALSE)</f>
        <v>Gold</v>
      </c>
      <c r="Q93" t="str" cm="1">
        <f t="array" ref="Q93">_xlfn.IFS(ISNUMBER(SEARCH("TB", G93)),Protocol_Reference!$B$2, ISNUMBER(SEARCH("Malaria",G93)),Protocol_Reference!$B$3, ISNUMBER(SEARCH("Typhoid",G93)),Protocol_Reference!$B$4, ISNUMBER(SEARCH("Hypertension", G93,)),Protocol_Reference!$B$5, ISNUMBER(SEARCH("Diabetes", G93)),Protocol_Reference!$B$6, ISNUMBER(SEARCH("Cholera", G93)),Protocol_Reference!$B$7, ISNUMBER(SEARCH("Pneumonia", G93)),Protocol_Reference!$B$8, TRUE, "Out of scope/ Routine Care")</f>
        <v>Artemisinin-based Combination Therapy (ACT) - 3-day course</v>
      </c>
      <c r="R93" s="16">
        <f>IFERROR(VLOOKUP(E93,Doctor_Directory!$A$2:$D$31,4,FALSE),"Check Doctor Code")</f>
        <v>8500</v>
      </c>
      <c r="S93" s="6" cm="1">
        <f t="array" ref="S93">_xlfn.XLOOKUP(C93,Insurance_Reimbursement_Matrix!$A$2:$A$6,_xlfn.XLOOKUP(_xlfn.XLOOKUP(F93,Age_Bracket_Reference!$A$2:$A$6,Age_Bracket_Reference!$B$2:$B$6,,-1),Insurance_Reimbursement_Matrix!$B$1:$F$1,Insurance_Reimbursement_Matrix!$B$2:$F$6))</f>
        <v>0.68</v>
      </c>
    </row>
    <row r="94" spans="1:19" x14ac:dyDescent="0.25">
      <c r="A94" s="2" t="s">
        <v>342</v>
      </c>
      <c r="B94" s="2" t="s">
        <v>343</v>
      </c>
      <c r="C94" s="2" t="s">
        <v>44</v>
      </c>
      <c r="D94" s="2" t="s">
        <v>186</v>
      </c>
      <c r="E94" s="2" t="s">
        <v>69</v>
      </c>
      <c r="F94" s="2">
        <v>87</v>
      </c>
      <c r="G94" s="2" t="s">
        <v>47</v>
      </c>
      <c r="H94" s="2" t="s">
        <v>54</v>
      </c>
      <c r="I94" s="18">
        <v>14985</v>
      </c>
      <c r="J94" s="2">
        <v>5</v>
      </c>
      <c r="K94" t="str">
        <f>_xlfn.IFNA(VLOOKUP(TRIM(E94),Doctor_Directory!$A$2:$D$31,2,FALSE),"No name")</f>
        <v>Dr. Yusuf Usman</v>
      </c>
      <c r="L94" t="str">
        <f>VLOOKUP(TRIM(D94),[1]Hospital_Details!$A$2:$D$16,2,FALSE)</f>
        <v>MC-ABJ-03</v>
      </c>
      <c r="M94" t="str">
        <f>VLOOKUP(I94,Bill_Tier_Reference!$A$2:$B$5,2,TRUE)</f>
        <v>Tier 1 - Basic</v>
      </c>
      <c r="N94" t="str">
        <f>VLOOKUP(F94,Age_Bracket_Reference!$A$2:$B$6,2,TRUE)</f>
        <v>Senior</v>
      </c>
      <c r="O94" t="str">
        <f>VLOOKUP(C94,State_Coordinator!$A$2:$B$6,2,FALSE)</f>
        <v>Ibrahim Garba</v>
      </c>
      <c r="P94" t="str">
        <f>VLOOKUP(L94,[2]Hospital_Details!$B$2:$D$16,3,FALSE)</f>
        <v>Silver</v>
      </c>
      <c r="Q94" t="str" cm="1">
        <f t="array" ref="Q94">_xlfn.IFS(ISNUMBER(SEARCH("TB", G94)),Protocol_Reference!$B$2, ISNUMBER(SEARCH("Malaria",G94)),Protocol_Reference!$B$3, ISNUMBER(SEARCH("Typhoid",G94)),Protocol_Reference!$B$4, ISNUMBER(SEARCH("Hypertension", G94,)),Protocol_Reference!$B$5, ISNUMBER(SEARCH("Diabetes", G94)),Protocol_Reference!$B$6, ISNUMBER(SEARCH("Cholera", G94)),Protocol_Reference!$B$7, ISNUMBER(SEARCH("Pneumonia", G94)),Protocol_Reference!$B$8, TRUE, "Out of scope/ Routine Care")</f>
        <v>Metformin 500mg twice daily + dietary counselling</v>
      </c>
      <c r="R94" s="16">
        <f>IFERROR(VLOOKUP(E94,Doctor_Directory!$A$2:$D$31,4,FALSE),"Check Doctor Code")</f>
        <v>9000</v>
      </c>
      <c r="S94" s="6" cm="1">
        <f t="array" ref="S94">_xlfn.XLOOKUP(C94,Insurance_Reimbursement_Matrix!$A$2:$A$6,_xlfn.XLOOKUP(_xlfn.XLOOKUP(F94,Age_Bracket_Reference!$A$2:$A$6,Age_Bracket_Reference!$B$2:$B$6,,-1),Insurance_Reimbursement_Matrix!$B$1:$F$1,Insurance_Reimbursement_Matrix!$B$2:$F$6))</f>
        <v>0.79</v>
      </c>
    </row>
    <row r="95" spans="1:19" x14ac:dyDescent="0.25">
      <c r="A95" s="2" t="s">
        <v>344</v>
      </c>
      <c r="B95" s="2" t="s">
        <v>345</v>
      </c>
      <c r="C95" s="2" t="s">
        <v>12</v>
      </c>
      <c r="D95" s="2" t="s">
        <v>33</v>
      </c>
      <c r="E95" s="2" t="s">
        <v>180</v>
      </c>
      <c r="F95" s="2">
        <v>87</v>
      </c>
      <c r="G95" s="2" t="s">
        <v>15</v>
      </c>
      <c r="H95" s="2" t="s">
        <v>122</v>
      </c>
      <c r="I95" s="18">
        <v>15485</v>
      </c>
      <c r="J95" s="2">
        <v>11</v>
      </c>
      <c r="K95" t="str">
        <f>_xlfn.IFNA(VLOOKUP(TRIM(E95),Doctor_Directory!$A$2:$D$31,2,FALSE),"No name")</f>
        <v>Dr. Maryam Eneh</v>
      </c>
      <c r="L95" t="str">
        <f>VLOOKUP(TRIM(D95),[1]Hospital_Details!$A$2:$D$16,2,FALSE)</f>
        <v>MC-PHC-02</v>
      </c>
      <c r="M95" t="str">
        <f>VLOOKUP(I95,Bill_Tier_Reference!$A$2:$B$5,2,TRUE)</f>
        <v>Tier 1 - Basic</v>
      </c>
      <c r="N95" t="str">
        <f>VLOOKUP(F95,Age_Bracket_Reference!$A$2:$B$6,2,TRUE)</f>
        <v>Senior</v>
      </c>
      <c r="O95" t="str">
        <f>VLOOKUP(C95,State_Coordinator!$A$2:$B$6,2,FALSE)</f>
        <v>Ebiere Amadi</v>
      </c>
      <c r="P95" t="str">
        <f>VLOOKUP(L95,[2]Hospital_Details!$B$2:$D$16,3,FALSE)</f>
        <v>Platinum</v>
      </c>
      <c r="Q95" t="str" cm="1">
        <f t="array" ref="Q95">_xlfn.IFS(ISNUMBER(SEARCH("TB", G95)),Protocol_Reference!$B$2, ISNUMBER(SEARCH("Malaria",G95)),Protocol_Reference!$B$3, ISNUMBER(SEARCH("Typhoid",G95)),Protocol_Reference!$B$4, ISNUMBER(SEARCH("Hypertension", G95,)),Protocol_Reference!$B$5, ISNUMBER(SEARCH("Diabetes", G95)),Protocol_Reference!$B$6, ISNUMBER(SEARCH("Cholera", G95)),Protocol_Reference!$B$7, ISNUMBER(SEARCH("Pneumonia", G95)),Protocol_Reference!$B$8, TRUE, "Out of scope/ Routine Care")</f>
        <v>Ciprofloxacin 500mg twice daily for 7-10 days</v>
      </c>
      <c r="R95" s="16">
        <f>IFERROR(VLOOKUP(E95,Doctor_Directory!$A$2:$D$31,4,FALSE),"Check Doctor Code")</f>
        <v>10000</v>
      </c>
      <c r="S95" s="6" cm="1">
        <f t="array" ref="S95">_xlfn.XLOOKUP(C95,Insurance_Reimbursement_Matrix!$A$2:$A$6,_xlfn.XLOOKUP(_xlfn.XLOOKUP(F95,Age_Bracket_Reference!$A$2:$A$6,Age_Bracket_Reference!$B$2:$B$6,,-1),Insurance_Reimbursement_Matrix!$B$1:$F$1,Insurance_Reimbursement_Matrix!$B$2:$F$6))</f>
        <v>0.79</v>
      </c>
    </row>
    <row r="96" spans="1:19" x14ac:dyDescent="0.25">
      <c r="A96" s="2" t="s">
        <v>346</v>
      </c>
      <c r="B96" s="2" t="s">
        <v>347</v>
      </c>
      <c r="C96" s="2" t="s">
        <v>19</v>
      </c>
      <c r="D96" s="2" t="s">
        <v>102</v>
      </c>
      <c r="E96" s="2" t="s">
        <v>93</v>
      </c>
      <c r="F96" s="2">
        <v>72</v>
      </c>
      <c r="G96" s="2" t="s">
        <v>89</v>
      </c>
      <c r="H96" s="2" t="s">
        <v>348</v>
      </c>
      <c r="I96" s="18">
        <v>83285</v>
      </c>
      <c r="J96" s="2">
        <v>11</v>
      </c>
      <c r="K96" t="str">
        <f>_xlfn.IFNA(VLOOKUP(TRIM(E96),Doctor_Directory!$A$2:$D$31,2,FALSE),"No name")</f>
        <v>Dr. Ngozi Umar</v>
      </c>
      <c r="L96" t="str">
        <f>VLOOKUP(TRIM(D96),[1]Hospital_Details!$A$2:$D$16,2,FALSE)</f>
        <v>MC-LAG-03</v>
      </c>
      <c r="M96" t="str">
        <f>VLOOKUP(I96,Bill_Tier_Reference!$A$2:$B$5,2,TRUE)</f>
        <v>Tier 3 - Premium</v>
      </c>
      <c r="N96" t="str">
        <f>VLOOKUP(F96,Age_Bracket_Reference!$A$2:$B$6,2,TRUE)</f>
        <v>Senior</v>
      </c>
      <c r="O96" t="str">
        <f>VLOOKUP(C96,State_Coordinator!$A$2:$B$6,2,FALSE)</f>
        <v>Funmilayo Adebayo</v>
      </c>
      <c r="P96" t="str">
        <f>VLOOKUP(L96,[2]Hospital_Details!$B$2:$D$16,3,FALSE)</f>
        <v>Bronze</v>
      </c>
      <c r="Q96" t="str" cm="1">
        <f t="array" ref="Q96">_xlfn.IFS(ISNUMBER(SEARCH("TB", G96)),Protocol_Reference!$B$2, ISNUMBER(SEARCH("Malaria",G96)),Protocol_Reference!$B$3, ISNUMBER(SEARCH("Typhoid",G96)),Protocol_Reference!$B$4, ISNUMBER(SEARCH("Hypertension", G96,)),Protocol_Reference!$B$5, ISNUMBER(SEARCH("Diabetes", G96)),Protocol_Reference!$B$6, ISNUMBER(SEARCH("Cholera", G96)),Protocol_Reference!$B$7, ISNUMBER(SEARCH("Pneumonia", G96)),Protocol_Reference!$B$8, TRUE, "Out of scope/ Routine Care")</f>
        <v>Out of scope/ Routine Care</v>
      </c>
      <c r="R96" s="16">
        <f>IFERROR(VLOOKUP(E96,Doctor_Directory!$A$2:$D$31,4,FALSE),"Check Doctor Code")</f>
        <v>9000</v>
      </c>
      <c r="S96" s="6" cm="1">
        <f t="array" ref="S96">_xlfn.XLOOKUP(C96,Insurance_Reimbursement_Matrix!$A$2:$A$6,_xlfn.XLOOKUP(_xlfn.XLOOKUP(F96,Age_Bracket_Reference!$A$2:$A$6,Age_Bracket_Reference!$B$2:$B$6,,-1),Insurance_Reimbursement_Matrix!$B$1:$F$1,Insurance_Reimbursement_Matrix!$B$2:$F$6))</f>
        <v>0.8</v>
      </c>
    </row>
    <row r="97" spans="1:19" x14ac:dyDescent="0.25">
      <c r="A97" s="2" t="s">
        <v>349</v>
      </c>
      <c r="B97" s="2" t="s">
        <v>350</v>
      </c>
      <c r="C97" s="2" t="s">
        <v>44</v>
      </c>
      <c r="D97" s="2" t="s">
        <v>45</v>
      </c>
      <c r="E97" s="2" t="s">
        <v>351</v>
      </c>
      <c r="F97" s="2">
        <v>39</v>
      </c>
      <c r="G97" s="2" t="s">
        <v>111</v>
      </c>
      <c r="H97" s="2" t="s">
        <v>66</v>
      </c>
      <c r="I97" s="18">
        <v>271127</v>
      </c>
      <c r="J97" s="2">
        <v>8</v>
      </c>
      <c r="K97" t="str">
        <f>_xlfn.IFNA(VLOOKUP(TRIM(E97),Doctor_Directory!$A$2:$D$31,2,FALSE),"No name")</f>
        <v>Dr. Segun Ibe</v>
      </c>
      <c r="L97" t="str">
        <f>VLOOKUP(TRIM(D97),[1]Hospital_Details!$A$2:$D$16,2,FALSE)</f>
        <v>MC-ABJ-01</v>
      </c>
      <c r="M97" t="str">
        <f>VLOOKUP(I97,Bill_Tier_Reference!$A$2:$B$5,2,TRUE)</f>
        <v>Tier 4 - Elite</v>
      </c>
      <c r="N97" t="str">
        <f>VLOOKUP(F97,Age_Bracket_Reference!$A$2:$B$6,2,TRUE)</f>
        <v>Adult</v>
      </c>
      <c r="O97" t="str">
        <f>VLOOKUP(C97,State_Coordinator!$A$2:$B$6,2,FALSE)</f>
        <v>Ibrahim Garba</v>
      </c>
      <c r="P97" t="str">
        <f>VLOOKUP(L97,[2]Hospital_Details!$B$2:$D$16,3,FALSE)</f>
        <v>Platinum</v>
      </c>
      <c r="Q97" t="str" cm="1">
        <f t="array" ref="Q97">_xlfn.IFS(ISNUMBER(SEARCH("TB", G97)),Protocol_Reference!$B$2, ISNUMBER(SEARCH("Malaria",G97)),Protocol_Reference!$B$3, ISNUMBER(SEARCH("Typhoid",G97)),Protocol_Reference!$B$4, ISNUMBER(SEARCH("Hypertension", G97,)),Protocol_Reference!$B$5, ISNUMBER(SEARCH("Diabetes", G97)),Protocol_Reference!$B$6, ISNUMBER(SEARCH("Cholera", G97)),Protocol_Reference!$B$7, ISNUMBER(SEARCH("Pneumonia", G97)),Protocol_Reference!$B$8, TRUE, "Out of scope/ Routine Care")</f>
        <v>Oral Rehydration Therapy + Doxycycline</v>
      </c>
      <c r="R97" s="16">
        <f>IFERROR(VLOOKUP(E97,Doctor_Directory!$A$2:$D$31,4,FALSE),"Check Doctor Code")</f>
        <v>8500</v>
      </c>
      <c r="S97" s="6" cm="1">
        <f t="array" ref="S97">_xlfn.XLOOKUP(C97,Insurance_Reimbursement_Matrix!$A$2:$A$6,_xlfn.XLOOKUP(_xlfn.XLOOKUP(F97,Age_Bracket_Reference!$A$2:$A$6,Age_Bracket_Reference!$B$2:$B$6,,-1),Insurance_Reimbursement_Matrix!$B$1:$F$1,Insurance_Reimbursement_Matrix!$B$2:$F$6))</f>
        <v>0.65</v>
      </c>
    </row>
    <row r="98" spans="1:19" x14ac:dyDescent="0.25">
      <c r="A98" s="2" t="s">
        <v>352</v>
      </c>
      <c r="B98" s="2" t="s">
        <v>353</v>
      </c>
      <c r="C98" s="2" t="s">
        <v>12</v>
      </c>
      <c r="D98" s="2" t="s">
        <v>217</v>
      </c>
      <c r="E98" s="2" t="s">
        <v>69</v>
      </c>
      <c r="F98" s="2">
        <v>20</v>
      </c>
      <c r="G98" s="2" t="s">
        <v>156</v>
      </c>
      <c r="H98" s="2" t="s">
        <v>316</v>
      </c>
      <c r="I98" s="18">
        <v>139139</v>
      </c>
      <c r="J98" s="2">
        <v>1</v>
      </c>
      <c r="K98" t="str">
        <f>_xlfn.IFNA(VLOOKUP(TRIM(E98),Doctor_Directory!$A$2:$D$31,2,FALSE),"No name")</f>
        <v>Dr. Yusuf Usman</v>
      </c>
      <c r="L98" t="str">
        <f>VLOOKUP(TRIM(D98),[1]Hospital_Details!$A$2:$D$16,2,FALSE)</f>
        <v>MC-PHC-03</v>
      </c>
      <c r="M98" t="str">
        <f>VLOOKUP(I98,Bill_Tier_Reference!$A$2:$B$5,2,TRUE)</f>
        <v>Tier 3 - Premium</v>
      </c>
      <c r="N98" t="str">
        <f>VLOOKUP(F98,Age_Bracket_Reference!$A$2:$B$6,2,TRUE)</f>
        <v>Young Adult</v>
      </c>
      <c r="O98" t="str">
        <f>VLOOKUP(C98,State_Coordinator!$A$2:$B$6,2,FALSE)</f>
        <v>Ebiere Amadi</v>
      </c>
      <c r="P98" t="str">
        <f>VLOOKUP(L98,[2]Hospital_Details!$B$2:$D$16,3,FALSE)</f>
        <v>Platinum</v>
      </c>
      <c r="Q98" t="str" cm="1">
        <f t="array" ref="Q98">_xlfn.IFS(ISNUMBER(SEARCH("TB", G98)),Protocol_Reference!$B$2, ISNUMBER(SEARCH("Malaria",G98)),Protocol_Reference!$B$3, ISNUMBER(SEARCH("Typhoid",G98)),Protocol_Reference!$B$4, ISNUMBER(SEARCH("Hypertension", G98,)),Protocol_Reference!$B$5, ISNUMBER(SEARCH("Diabetes", G98)),Protocol_Reference!$B$6, ISNUMBER(SEARCH("Cholera", G98)),Protocol_Reference!$B$7, ISNUMBER(SEARCH("Pneumonia", G98)),Protocol_Reference!$B$8, TRUE, "Out of scope/ Routine Care")</f>
        <v>Metformin 500mg twice daily + dietary counselling</v>
      </c>
      <c r="R98" s="16">
        <f>IFERROR(VLOOKUP(E98,Doctor_Directory!$A$2:$D$31,4,FALSE),"Check Doctor Code")</f>
        <v>9000</v>
      </c>
      <c r="S98" s="6" cm="1">
        <f t="array" ref="S98">_xlfn.XLOOKUP(C98,Insurance_Reimbursement_Matrix!$A$2:$A$6,_xlfn.XLOOKUP(_xlfn.XLOOKUP(F98,Age_Bracket_Reference!$A$2:$A$6,Age_Bracket_Reference!$B$2:$B$6,,-1),Insurance_Reimbursement_Matrix!$B$1:$F$1,Insurance_Reimbursement_Matrix!$B$2:$F$6))</f>
        <v>0.69</v>
      </c>
    </row>
    <row r="99" spans="1:19" x14ac:dyDescent="0.25">
      <c r="A99" s="2" t="s">
        <v>354</v>
      </c>
      <c r="B99" s="2" t="s">
        <v>355</v>
      </c>
      <c r="C99" s="2" t="s">
        <v>44</v>
      </c>
      <c r="D99" s="2" t="s">
        <v>138</v>
      </c>
      <c r="E99" s="2" t="s">
        <v>14</v>
      </c>
      <c r="F99" s="2">
        <v>31</v>
      </c>
      <c r="G99" s="2" t="s">
        <v>22</v>
      </c>
      <c r="H99" s="2" t="s">
        <v>272</v>
      </c>
      <c r="I99" s="18">
        <v>15036</v>
      </c>
      <c r="J99" s="2">
        <v>7</v>
      </c>
      <c r="K99" t="str">
        <f>_xlfn.IFNA(VLOOKUP(TRIM(E99),Doctor_Directory!$A$2:$D$31,2,FALSE),"No name")</f>
        <v>Dr. Blessing Adekunle</v>
      </c>
      <c r="L99" t="str">
        <f>VLOOKUP(TRIM(D99),[1]Hospital_Details!$A$2:$D$16,2,FALSE)</f>
        <v>MC-ABJ-02</v>
      </c>
      <c r="M99" t="str">
        <f>VLOOKUP(I99,Bill_Tier_Reference!$A$2:$B$5,2,TRUE)</f>
        <v>Tier 1 - Basic</v>
      </c>
      <c r="N99" t="str">
        <f>VLOOKUP(F99,Age_Bracket_Reference!$A$2:$B$6,2,TRUE)</f>
        <v>Young Adult</v>
      </c>
      <c r="O99" t="str">
        <f>VLOOKUP(C99,State_Coordinator!$A$2:$B$6,2,FALSE)</f>
        <v>Ibrahim Garba</v>
      </c>
      <c r="P99" t="str">
        <f>VLOOKUP(L99,[2]Hospital_Details!$B$2:$D$16,3,FALSE)</f>
        <v>Silver</v>
      </c>
      <c r="Q99" t="str" cm="1">
        <f t="array" ref="Q99">_xlfn.IFS(ISNUMBER(SEARCH("TB", G99)),Protocol_Reference!$B$2, ISNUMBER(SEARCH("Malaria",G99)),Protocol_Reference!$B$3, ISNUMBER(SEARCH("Typhoid",G99)),Protocol_Reference!$B$4, ISNUMBER(SEARCH("Hypertension", G99,)),Protocol_Reference!$B$5, ISNUMBER(SEARCH("Diabetes", G99)),Protocol_Reference!$B$6, ISNUMBER(SEARCH("Cholera", G99)),Protocol_Reference!$B$7, ISNUMBER(SEARCH("Pneumonia", G99)),Protocol_Reference!$B$8, TRUE, "Out of scope/ Routine Care")</f>
        <v>Out of scope/ Routine Care</v>
      </c>
      <c r="R99" s="16">
        <f>IFERROR(VLOOKUP(E99,Doctor_Directory!$A$2:$D$31,4,FALSE),"Check Doctor Code")</f>
        <v>10000</v>
      </c>
      <c r="S99" s="6" cm="1">
        <f t="array" ref="S99">_xlfn.XLOOKUP(C99,Insurance_Reimbursement_Matrix!$A$2:$A$6,_xlfn.XLOOKUP(_xlfn.XLOOKUP(F99,Age_Bracket_Reference!$A$2:$A$6,Age_Bracket_Reference!$B$2:$B$6,,-1),Insurance_Reimbursement_Matrix!$B$1:$F$1,Insurance_Reimbursement_Matrix!$B$2:$F$6))</f>
        <v>0.65</v>
      </c>
    </row>
    <row r="100" spans="1:19" x14ac:dyDescent="0.25">
      <c r="A100" s="2" t="s">
        <v>356</v>
      </c>
      <c r="B100" s="2" t="s">
        <v>357</v>
      </c>
      <c r="C100" s="2" t="s">
        <v>19</v>
      </c>
      <c r="D100" s="2" t="s">
        <v>160</v>
      </c>
      <c r="E100" s="2" t="s">
        <v>80</v>
      </c>
      <c r="F100" s="2">
        <v>85</v>
      </c>
      <c r="G100" s="2" t="s">
        <v>129</v>
      </c>
      <c r="H100" s="2" t="s">
        <v>358</v>
      </c>
      <c r="I100" s="18">
        <v>23314</v>
      </c>
      <c r="J100" s="2">
        <v>3</v>
      </c>
      <c r="K100" t="str">
        <f>_xlfn.IFNA(VLOOKUP(TRIM(E100),Doctor_Directory!$A$2:$D$31,2,FALSE),"No name")</f>
        <v>Dr. Folake Bamidele</v>
      </c>
      <c r="L100" t="str">
        <f>VLOOKUP(TRIM(D100),[1]Hospital_Details!$A$2:$D$16,2,FALSE)</f>
        <v>MC-LAG-02</v>
      </c>
      <c r="M100" t="str">
        <f>VLOOKUP(I100,Bill_Tier_Reference!$A$2:$B$5,2,TRUE)</f>
        <v>Tier 2 - Standard</v>
      </c>
      <c r="N100" t="str">
        <f>VLOOKUP(F100,Age_Bracket_Reference!$A$2:$B$6,2,TRUE)</f>
        <v>Senior</v>
      </c>
      <c r="O100" t="str">
        <f>VLOOKUP(C100,State_Coordinator!$A$2:$B$6,2,FALSE)</f>
        <v>Funmilayo Adebayo</v>
      </c>
      <c r="P100" t="str">
        <f>VLOOKUP(L100,[2]Hospital_Details!$B$2:$D$16,3,FALSE)</f>
        <v>Bronze</v>
      </c>
      <c r="Q100" t="str" cm="1">
        <f t="array" ref="Q100">_xlfn.IFS(ISNUMBER(SEARCH("TB", G100)),Protocol_Reference!$B$2, ISNUMBER(SEARCH("Malaria",G100)),Protocol_Reference!$B$3, ISNUMBER(SEARCH("Typhoid",G100)),Protocol_Reference!$B$4, ISNUMBER(SEARCH("Hypertension", G100,)),Protocol_Reference!$B$5, ISNUMBER(SEARCH("Diabetes", G100)),Protocol_Reference!$B$6, ISNUMBER(SEARCH("Cholera", G100)),Protocol_Reference!$B$7, ISNUMBER(SEARCH("Pneumonia", G100)),Protocol_Reference!$B$8, TRUE, "Out of scope/ Routine Care")</f>
        <v>Artemisinin-based Combination Therapy (ACT) - 3-day course</v>
      </c>
      <c r="R100" s="16">
        <f>IFERROR(VLOOKUP(E100,Doctor_Directory!$A$2:$D$31,4,FALSE),"Check Doctor Code")</f>
        <v>5000</v>
      </c>
      <c r="S100" s="6" cm="1">
        <f t="array" ref="S100">_xlfn.XLOOKUP(C100,Insurance_Reimbursement_Matrix!$A$2:$A$6,_xlfn.XLOOKUP(_xlfn.XLOOKUP(F100,Age_Bracket_Reference!$A$2:$A$6,Age_Bracket_Reference!$B$2:$B$6,,-1),Insurance_Reimbursement_Matrix!$B$1:$F$1,Insurance_Reimbursement_Matrix!$B$2:$F$6))</f>
        <v>0.8</v>
      </c>
    </row>
    <row r="101" spans="1:19" x14ac:dyDescent="0.25">
      <c r="A101" s="2" t="s">
        <v>359</v>
      </c>
      <c r="B101" s="2" t="s">
        <v>360</v>
      </c>
      <c r="C101" s="2" t="s">
        <v>19</v>
      </c>
      <c r="D101" s="2" t="s">
        <v>102</v>
      </c>
      <c r="E101" s="2" t="s">
        <v>231</v>
      </c>
      <c r="F101" s="2">
        <v>76</v>
      </c>
      <c r="G101" s="2" t="s">
        <v>129</v>
      </c>
      <c r="H101" s="2" t="s">
        <v>361</v>
      </c>
      <c r="I101" s="18">
        <v>94340</v>
      </c>
      <c r="J101" s="2">
        <v>14</v>
      </c>
      <c r="K101" t="str">
        <f>_xlfn.IFNA(VLOOKUP(TRIM(E101),Doctor_Directory!$A$2:$D$31,2,FALSE),"No name")</f>
        <v>Dr. Bimpe Mohammed</v>
      </c>
      <c r="L101" t="str">
        <f>VLOOKUP(TRIM(D101),[1]Hospital_Details!$A$2:$D$16,2,FALSE)</f>
        <v>MC-LAG-03</v>
      </c>
      <c r="M101" t="str">
        <f>VLOOKUP(I101,Bill_Tier_Reference!$A$2:$B$5,2,TRUE)</f>
        <v>Tier 3 - Premium</v>
      </c>
      <c r="N101" t="str">
        <f>VLOOKUP(F101,Age_Bracket_Reference!$A$2:$B$6,2,TRUE)</f>
        <v>Senior</v>
      </c>
      <c r="O101" t="str">
        <f>VLOOKUP(C101,State_Coordinator!$A$2:$B$6,2,FALSE)</f>
        <v>Funmilayo Adebayo</v>
      </c>
      <c r="P101" t="str">
        <f>VLOOKUP(L101,[2]Hospital_Details!$B$2:$D$16,3,FALSE)</f>
        <v>Bronze</v>
      </c>
      <c r="Q101" t="str" cm="1">
        <f t="array" ref="Q101">_xlfn.IFS(ISNUMBER(SEARCH("TB", G101)),Protocol_Reference!$B$2, ISNUMBER(SEARCH("Malaria",G101)),Protocol_Reference!$B$3, ISNUMBER(SEARCH("Typhoid",G101)),Protocol_Reference!$B$4, ISNUMBER(SEARCH("Hypertension", G101,)),Protocol_Reference!$B$5, ISNUMBER(SEARCH("Diabetes", G101)),Protocol_Reference!$B$6, ISNUMBER(SEARCH("Cholera", G101)),Protocol_Reference!$B$7, ISNUMBER(SEARCH("Pneumonia", G101)),Protocol_Reference!$B$8, TRUE, "Out of scope/ Routine Care")</f>
        <v>Artemisinin-based Combination Therapy (ACT) - 3-day course</v>
      </c>
      <c r="R101" s="16">
        <f>IFERROR(VLOOKUP(E101,Doctor_Directory!$A$2:$D$31,4,FALSE),"Check Doctor Code")</f>
        <v>4000</v>
      </c>
      <c r="S101" s="6" cm="1">
        <f t="array" ref="S101">_xlfn.XLOOKUP(C101,Insurance_Reimbursement_Matrix!$A$2:$A$6,_xlfn.XLOOKUP(_xlfn.XLOOKUP(F101,Age_Bracket_Reference!$A$2:$A$6,Age_Bracket_Reference!$B$2:$B$6,,-1),Insurance_Reimbursement_Matrix!$B$1:$F$1,Insurance_Reimbursement_Matrix!$B$2:$F$6))</f>
        <v>0.8</v>
      </c>
    </row>
    <row r="102" spans="1:19" x14ac:dyDescent="0.25">
      <c r="A102" s="2" t="s">
        <v>362</v>
      </c>
      <c r="B102" s="2" t="s">
        <v>363</v>
      </c>
      <c r="C102" s="2" t="s">
        <v>37</v>
      </c>
      <c r="D102" s="2" t="s">
        <v>97</v>
      </c>
      <c r="E102" s="2" t="s">
        <v>46</v>
      </c>
      <c r="F102" s="2">
        <v>23</v>
      </c>
      <c r="G102" s="2" t="s">
        <v>59</v>
      </c>
      <c r="H102" s="2" t="s">
        <v>336</v>
      </c>
      <c r="I102" s="18">
        <v>28637</v>
      </c>
      <c r="J102" s="2">
        <v>10</v>
      </c>
      <c r="K102" t="str">
        <f>_xlfn.IFNA(VLOOKUP(TRIM(E102),Doctor_Directory!$A$2:$D$31,2,FALSE),"No name")</f>
        <v>Dr. Amaka Okafor</v>
      </c>
      <c r="L102" t="str">
        <f>VLOOKUP(TRIM(D102),[1]Hospital_Details!$A$2:$D$16,2,FALSE)</f>
        <v>MC-ENU-02</v>
      </c>
      <c r="M102" t="str">
        <f>VLOOKUP(I102,Bill_Tier_Reference!$A$2:$B$5,2,TRUE)</f>
        <v>Tier 2 - Standard</v>
      </c>
      <c r="N102" t="str">
        <f>VLOOKUP(F102,Age_Bracket_Reference!$A$2:$B$6,2,TRUE)</f>
        <v>Young Adult</v>
      </c>
      <c r="O102" t="str">
        <f>VLOOKUP(C102,State_Coordinator!$A$2:$B$6,2,FALSE)</f>
        <v>Chidiebere Okoro</v>
      </c>
      <c r="P102" t="str">
        <f>VLOOKUP(L102,[2]Hospital_Details!$B$2:$D$16,3,FALSE)</f>
        <v>Bronze</v>
      </c>
      <c r="Q102" t="str" cm="1">
        <f t="array" ref="Q102">_xlfn.IFS(ISNUMBER(SEARCH("TB", G102)),Protocol_Reference!$B$2, ISNUMBER(SEARCH("Malaria",G102)),Protocol_Reference!$B$3, ISNUMBER(SEARCH("Typhoid",G102)),Protocol_Reference!$B$4, ISNUMBER(SEARCH("Hypertension", G102,)),Protocol_Reference!$B$5, ISNUMBER(SEARCH("Diabetes", G102)),Protocol_Reference!$B$6, ISNUMBER(SEARCH("Cholera", G102)),Protocol_Reference!$B$7, ISNUMBER(SEARCH("Pneumonia", G102)),Protocol_Reference!$B$8, TRUE, "Out of scope/ Routine Care")</f>
        <v>Directly Observed Treatment Short-course (DOTS) - 6 month regimen</v>
      </c>
      <c r="R102" s="16">
        <f>IFERROR(VLOOKUP(E102,Doctor_Directory!$A$2:$D$31,4,FALSE),"Check Doctor Code")</f>
        <v>4000</v>
      </c>
      <c r="S102" s="6" cm="1">
        <f t="array" ref="S102">_xlfn.XLOOKUP(C102,Insurance_Reimbursement_Matrix!$A$2:$A$6,_xlfn.XLOOKUP(_xlfn.XLOOKUP(F102,Age_Bracket_Reference!$A$2:$A$6,Age_Bracket_Reference!$B$2:$B$6,,-1),Insurance_Reimbursement_Matrix!$B$1:$F$1,Insurance_Reimbursement_Matrix!$B$2:$F$6))</f>
        <v>0.69</v>
      </c>
    </row>
    <row r="103" spans="1:19" x14ac:dyDescent="0.25">
      <c r="A103" s="2" t="s">
        <v>364</v>
      </c>
      <c r="B103" s="2" t="s">
        <v>365</v>
      </c>
      <c r="C103" s="2" t="s">
        <v>44</v>
      </c>
      <c r="D103" s="2" t="s">
        <v>138</v>
      </c>
      <c r="E103" s="2" t="s">
        <v>351</v>
      </c>
      <c r="F103" s="2">
        <v>17</v>
      </c>
      <c r="G103" s="2" t="s">
        <v>53</v>
      </c>
      <c r="H103" s="2" t="s">
        <v>209</v>
      </c>
      <c r="I103" s="18">
        <v>449690</v>
      </c>
      <c r="J103" s="2">
        <v>13</v>
      </c>
      <c r="K103" t="str">
        <f>_xlfn.IFNA(VLOOKUP(TRIM(E103),Doctor_Directory!$A$2:$D$31,2,FALSE),"No name")</f>
        <v>Dr. Segun Ibe</v>
      </c>
      <c r="L103" t="str">
        <f>VLOOKUP(TRIM(D103),[1]Hospital_Details!$A$2:$D$16,2,FALSE)</f>
        <v>MC-ABJ-02</v>
      </c>
      <c r="M103" t="str">
        <f>VLOOKUP(I103,Bill_Tier_Reference!$A$2:$B$5,2,TRUE)</f>
        <v>Tier 4 - Elite</v>
      </c>
      <c r="N103" t="str">
        <f>VLOOKUP(F103,Age_Bracket_Reference!$A$2:$B$6,2,TRUE)</f>
        <v>Teen</v>
      </c>
      <c r="O103" t="str">
        <f>VLOOKUP(C103,State_Coordinator!$A$2:$B$6,2,FALSE)</f>
        <v>Ibrahim Garba</v>
      </c>
      <c r="P103" t="str">
        <f>VLOOKUP(L103,[2]Hospital_Details!$B$2:$D$16,3,FALSE)</f>
        <v>Silver</v>
      </c>
      <c r="Q103" t="str" cm="1">
        <f t="array" ref="Q103">_xlfn.IFS(ISNUMBER(SEARCH("TB", G103)),Protocol_Reference!$B$2, ISNUMBER(SEARCH("Malaria",G103)),Protocol_Reference!$B$3, ISNUMBER(SEARCH("Typhoid",G103)),Protocol_Reference!$B$4, ISNUMBER(SEARCH("Hypertension", G103,)),Protocol_Reference!$B$5, ISNUMBER(SEARCH("Diabetes", G103)),Protocol_Reference!$B$6, ISNUMBER(SEARCH("Cholera", G103)),Protocol_Reference!$B$7, ISNUMBER(SEARCH("Pneumonia", G103)),Protocol_Reference!$B$8, TRUE, "Out of scope/ Routine Care")</f>
        <v>Out of scope/ Routine Care</v>
      </c>
      <c r="R103" s="16">
        <f>IFERROR(VLOOKUP(E103,Doctor_Directory!$A$2:$D$31,4,FALSE),"Check Doctor Code")</f>
        <v>8500</v>
      </c>
      <c r="S103" s="6" cm="1">
        <f t="array" ref="S103">_xlfn.XLOOKUP(C103,Insurance_Reimbursement_Matrix!$A$2:$A$6,_xlfn.XLOOKUP(_xlfn.XLOOKUP(F103,Age_Bracket_Reference!$A$2:$A$6,Age_Bracket_Reference!$B$2:$B$6,,-1),Insurance_Reimbursement_Matrix!$B$1:$F$1,Insurance_Reimbursement_Matrix!$B$2:$F$6))</f>
        <v>0.71</v>
      </c>
    </row>
    <row r="104" spans="1:19" x14ac:dyDescent="0.25">
      <c r="A104" s="2" t="s">
        <v>366</v>
      </c>
      <c r="B104" s="2" t="s">
        <v>367</v>
      </c>
      <c r="C104" s="2" t="s">
        <v>37</v>
      </c>
      <c r="D104" s="2" t="s">
        <v>79</v>
      </c>
      <c r="E104" s="2" t="s">
        <v>14</v>
      </c>
      <c r="F104" s="2">
        <v>65</v>
      </c>
      <c r="G104" s="2" t="s">
        <v>240</v>
      </c>
      <c r="H104" s="2" t="s">
        <v>348</v>
      </c>
      <c r="I104" s="18">
        <v>177659</v>
      </c>
      <c r="J104" s="2">
        <v>8</v>
      </c>
      <c r="K104" t="str">
        <f>_xlfn.IFNA(VLOOKUP(TRIM(E104),Doctor_Directory!$A$2:$D$31,2,FALSE),"No name")</f>
        <v>Dr. Blessing Adekunle</v>
      </c>
      <c r="L104" t="str">
        <f>VLOOKUP(TRIM(D104),[1]Hospital_Details!$A$2:$D$16,2,FALSE)</f>
        <v>MC-ENU-01</v>
      </c>
      <c r="M104" t="str">
        <f>VLOOKUP(I104,Bill_Tier_Reference!$A$2:$B$5,2,TRUE)</f>
        <v>Tier 3 - Premium</v>
      </c>
      <c r="N104" t="str">
        <f>VLOOKUP(F104,Age_Bracket_Reference!$A$2:$B$6,2,TRUE)</f>
        <v>Senior</v>
      </c>
      <c r="O104" t="str">
        <f>VLOOKUP(C104,State_Coordinator!$A$2:$B$6,2,FALSE)</f>
        <v>Chidiebere Okoro</v>
      </c>
      <c r="P104" t="str">
        <f>VLOOKUP(L104,[2]Hospital_Details!$B$2:$D$16,3,FALSE)</f>
        <v>Gold</v>
      </c>
      <c r="Q104" t="str" cm="1">
        <f t="array" ref="Q104">_xlfn.IFS(ISNUMBER(SEARCH("TB", G104)),Protocol_Reference!$B$2, ISNUMBER(SEARCH("Malaria",G104)),Protocol_Reference!$B$3, ISNUMBER(SEARCH("Typhoid",G104)),Protocol_Reference!$B$4, ISNUMBER(SEARCH("Hypertension", G104,)),Protocol_Reference!$B$5, ISNUMBER(SEARCH("Diabetes", G104)),Protocol_Reference!$B$6, ISNUMBER(SEARCH("Cholera", G104)),Protocol_Reference!$B$7, ISNUMBER(SEARCH("Pneumonia", G104)),Protocol_Reference!$B$8, TRUE, "Out of scope/ Routine Care")</f>
        <v>Artemisinin-based Combination Therapy (ACT) - 3-day course</v>
      </c>
      <c r="R104" s="16">
        <f>IFERROR(VLOOKUP(E104,Doctor_Directory!$A$2:$D$31,4,FALSE),"Check Doctor Code")</f>
        <v>10000</v>
      </c>
      <c r="S104" s="6" cm="1">
        <f t="array" ref="S104">_xlfn.XLOOKUP(C104,Insurance_Reimbursement_Matrix!$A$2:$A$6,_xlfn.XLOOKUP(_xlfn.XLOOKUP(F104,Age_Bracket_Reference!$A$2:$A$6,Age_Bracket_Reference!$B$2:$B$6,,-1),Insurance_Reimbursement_Matrix!$B$1:$F$1,Insurance_Reimbursement_Matrix!$B$2:$F$6))</f>
        <v>0.76</v>
      </c>
    </row>
    <row r="105" spans="1:19" x14ac:dyDescent="0.25">
      <c r="A105" s="2" t="s">
        <v>368</v>
      </c>
      <c r="B105" s="2" t="s">
        <v>369</v>
      </c>
      <c r="C105" s="2" t="s">
        <v>19</v>
      </c>
      <c r="D105" s="2" t="s">
        <v>160</v>
      </c>
      <c r="E105" s="2" t="s">
        <v>319</v>
      </c>
      <c r="F105" s="2">
        <v>52</v>
      </c>
      <c r="G105" s="2" t="s">
        <v>156</v>
      </c>
      <c r="H105" s="2" t="s">
        <v>370</v>
      </c>
      <c r="I105" s="18">
        <v>6537</v>
      </c>
      <c r="J105" s="2">
        <v>2</v>
      </c>
      <c r="K105" t="str">
        <f>_xlfn.IFNA(VLOOKUP(TRIM(E105),Doctor_Directory!$A$2:$D$31,2,FALSE),"No name")</f>
        <v>Dr. Kayode Suleiman</v>
      </c>
      <c r="L105" t="str">
        <f>VLOOKUP(TRIM(D105),[1]Hospital_Details!$A$2:$D$16,2,FALSE)</f>
        <v>MC-LAG-02</v>
      </c>
      <c r="M105" t="str">
        <f>VLOOKUP(I105,Bill_Tier_Reference!$A$2:$B$5,2,TRUE)</f>
        <v>Tier 1 - Basic</v>
      </c>
      <c r="N105" t="str">
        <f>VLOOKUP(F105,Age_Bracket_Reference!$A$2:$B$6,2,TRUE)</f>
        <v>Adult</v>
      </c>
      <c r="O105" t="str">
        <f>VLOOKUP(C105,State_Coordinator!$A$2:$B$6,2,FALSE)</f>
        <v>Funmilayo Adebayo</v>
      </c>
      <c r="P105" t="str">
        <f>VLOOKUP(L105,[2]Hospital_Details!$B$2:$D$16,3,FALSE)</f>
        <v>Bronze</v>
      </c>
      <c r="Q105" t="str" cm="1">
        <f t="array" ref="Q105">_xlfn.IFS(ISNUMBER(SEARCH("TB", G105)),Protocol_Reference!$B$2, ISNUMBER(SEARCH("Malaria",G105)),Protocol_Reference!$B$3, ISNUMBER(SEARCH("Typhoid",G105)),Protocol_Reference!$B$4, ISNUMBER(SEARCH("Hypertension", G105,)),Protocol_Reference!$B$5, ISNUMBER(SEARCH("Diabetes", G105)),Protocol_Reference!$B$6, ISNUMBER(SEARCH("Cholera", G105)),Protocol_Reference!$B$7, ISNUMBER(SEARCH("Pneumonia", G105)),Protocol_Reference!$B$8, TRUE, "Out of scope/ Routine Care")</f>
        <v>Metformin 500mg twice daily + dietary counselling</v>
      </c>
      <c r="R105" s="16">
        <f>IFERROR(VLOOKUP(E105,Doctor_Directory!$A$2:$D$31,4,FALSE),"Check Doctor Code")</f>
        <v>9000</v>
      </c>
      <c r="S105" s="6" cm="1">
        <f t="array" ref="S105">_xlfn.XLOOKUP(C105,Insurance_Reimbursement_Matrix!$A$2:$A$6,_xlfn.XLOOKUP(_xlfn.XLOOKUP(F105,Age_Bracket_Reference!$A$2:$A$6,Age_Bracket_Reference!$B$2:$B$6,,-1),Insurance_Reimbursement_Matrix!$B$1:$F$1,Insurance_Reimbursement_Matrix!$B$2:$F$6))</f>
        <v>0.66</v>
      </c>
    </row>
    <row r="106" spans="1:19" x14ac:dyDescent="0.25">
      <c r="A106" s="2" t="s">
        <v>371</v>
      </c>
      <c r="B106" s="2" t="s">
        <v>372</v>
      </c>
      <c r="C106" s="2" t="s">
        <v>44</v>
      </c>
      <c r="D106" s="2" t="s">
        <v>45</v>
      </c>
      <c r="E106" s="2" t="s">
        <v>373</v>
      </c>
      <c r="F106" s="2">
        <v>36</v>
      </c>
      <c r="G106" s="2" t="s">
        <v>75</v>
      </c>
      <c r="H106" s="2" t="s">
        <v>147</v>
      </c>
      <c r="I106" s="18">
        <v>153301</v>
      </c>
      <c r="J106" s="2">
        <v>8</v>
      </c>
      <c r="K106" t="str">
        <f>_xlfn.IFNA(VLOOKUP(TRIM(E106),Doctor_Directory!$A$2:$D$31,2,FALSE),"No name")</f>
        <v>Dr. Hadiza Suleiman</v>
      </c>
      <c r="L106" t="str">
        <f>VLOOKUP(TRIM(D106),[1]Hospital_Details!$A$2:$D$16,2,FALSE)</f>
        <v>MC-ABJ-01</v>
      </c>
      <c r="M106" t="str">
        <f>VLOOKUP(I106,Bill_Tier_Reference!$A$2:$B$5,2,TRUE)</f>
        <v>Tier 3 - Premium</v>
      </c>
      <c r="N106" t="str">
        <f>VLOOKUP(F106,Age_Bracket_Reference!$A$2:$B$6,2,TRUE)</f>
        <v>Adult</v>
      </c>
      <c r="O106" t="str">
        <f>VLOOKUP(C106,State_Coordinator!$A$2:$B$6,2,FALSE)</f>
        <v>Ibrahim Garba</v>
      </c>
      <c r="P106" t="str">
        <f>VLOOKUP(L106,[2]Hospital_Details!$B$2:$D$16,3,FALSE)</f>
        <v>Platinum</v>
      </c>
      <c r="Q106" t="str" cm="1">
        <f t="array" ref="Q106">_xlfn.IFS(ISNUMBER(SEARCH("TB", G106)),Protocol_Reference!$B$2, ISNUMBER(SEARCH("Malaria",G106)),Protocol_Reference!$B$3, ISNUMBER(SEARCH("Typhoid",G106)),Protocol_Reference!$B$4, ISNUMBER(SEARCH("Hypertension", G106,)),Protocol_Reference!$B$5, ISNUMBER(SEARCH("Diabetes", G106)),Protocol_Reference!$B$6, ISNUMBER(SEARCH("Cholera", G106)),Protocol_Reference!$B$7, ISNUMBER(SEARCH("Pneumonia", G106)),Protocol_Reference!$B$8, TRUE, "Out of scope/ Routine Care")</f>
        <v>Directly Observed Treatment Short-course (DOTS) - 6 month regimen</v>
      </c>
      <c r="R106" s="16">
        <f>IFERROR(VLOOKUP(E106,Doctor_Directory!$A$2:$D$31,4,FALSE),"Check Doctor Code")</f>
        <v>6000</v>
      </c>
      <c r="S106" s="6" cm="1">
        <f t="array" ref="S106">_xlfn.XLOOKUP(C106,Insurance_Reimbursement_Matrix!$A$2:$A$6,_xlfn.XLOOKUP(_xlfn.XLOOKUP(F106,Age_Bracket_Reference!$A$2:$A$6,Age_Bracket_Reference!$B$2:$B$6,,-1),Insurance_Reimbursement_Matrix!$B$1:$F$1,Insurance_Reimbursement_Matrix!$B$2:$F$6))</f>
        <v>0.65</v>
      </c>
    </row>
    <row r="107" spans="1:19" x14ac:dyDescent="0.25">
      <c r="A107" s="2" t="s">
        <v>374</v>
      </c>
      <c r="B107" s="2" t="s">
        <v>375</v>
      </c>
      <c r="C107" s="2" t="s">
        <v>12</v>
      </c>
      <c r="D107" s="2" t="s">
        <v>13</v>
      </c>
      <c r="E107" s="2" t="s">
        <v>46</v>
      </c>
      <c r="F107" s="2">
        <v>15</v>
      </c>
      <c r="G107" s="2" t="s">
        <v>290</v>
      </c>
      <c r="H107" s="2" t="s">
        <v>316</v>
      </c>
      <c r="I107" s="18">
        <v>319796</v>
      </c>
      <c r="J107" s="2">
        <v>6</v>
      </c>
      <c r="K107" t="str">
        <f>_xlfn.IFNA(VLOOKUP(TRIM(E107),Doctor_Directory!$A$2:$D$31,2,FALSE),"No name")</f>
        <v>Dr. Amaka Okafor</v>
      </c>
      <c r="L107" t="str">
        <f>VLOOKUP(TRIM(D107),[1]Hospital_Details!$A$2:$D$16,2,FALSE)</f>
        <v>MC-PHC-01</v>
      </c>
      <c r="M107" t="str">
        <f>VLOOKUP(I107,Bill_Tier_Reference!$A$2:$B$5,2,TRUE)</f>
        <v>Tier 4 - Elite</v>
      </c>
      <c r="N107" t="str">
        <f>VLOOKUP(F107,Age_Bracket_Reference!$A$2:$B$6,2,TRUE)</f>
        <v>Teen</v>
      </c>
      <c r="O107" t="str">
        <f>VLOOKUP(C107,State_Coordinator!$A$2:$B$6,2,FALSE)</f>
        <v>Ebiere Amadi</v>
      </c>
      <c r="P107" t="str">
        <f>VLOOKUP(L107,[2]Hospital_Details!$B$2:$D$16,3,FALSE)</f>
        <v>Bronze</v>
      </c>
      <c r="Q107" t="str" cm="1">
        <f t="array" ref="Q107">_xlfn.IFS(ISNUMBER(SEARCH("TB", G107)),Protocol_Reference!$B$2, ISNUMBER(SEARCH("Malaria",G107)),Protocol_Reference!$B$3, ISNUMBER(SEARCH("Typhoid",G107)),Protocol_Reference!$B$4, ISNUMBER(SEARCH("Hypertension", G107,)),Protocol_Reference!$B$5, ISNUMBER(SEARCH("Diabetes", G107)),Protocol_Reference!$B$6, ISNUMBER(SEARCH("Cholera", G107)),Protocol_Reference!$B$7, ISNUMBER(SEARCH("Pneumonia", G107)),Protocol_Reference!$B$8, TRUE, "Out of scope/ Routine Care")</f>
        <v>Directly Observed Treatment Short-course (DOTS) - 6 month regimen</v>
      </c>
      <c r="R107" s="16">
        <f>IFERROR(VLOOKUP(E107,Doctor_Directory!$A$2:$D$31,4,FALSE),"Check Doctor Code")</f>
        <v>4000</v>
      </c>
      <c r="S107" s="6" cm="1">
        <f t="array" ref="S107">_xlfn.XLOOKUP(C107,Insurance_Reimbursement_Matrix!$A$2:$A$6,_xlfn.XLOOKUP(_xlfn.XLOOKUP(F107,Age_Bracket_Reference!$A$2:$A$6,Age_Bracket_Reference!$B$2:$B$6,,-1),Insurance_Reimbursement_Matrix!$B$1:$F$1,Insurance_Reimbursement_Matrix!$B$2:$F$6))</f>
        <v>0.76</v>
      </c>
    </row>
    <row r="108" spans="1:19" x14ac:dyDescent="0.25">
      <c r="A108" s="2" t="s">
        <v>376</v>
      </c>
      <c r="B108" s="2" t="s">
        <v>377</v>
      </c>
      <c r="C108" s="2" t="s">
        <v>12</v>
      </c>
      <c r="D108" s="2" t="s">
        <v>217</v>
      </c>
      <c r="E108" s="2" t="s">
        <v>378</v>
      </c>
      <c r="F108" s="2">
        <v>41</v>
      </c>
      <c r="G108" s="2" t="s">
        <v>156</v>
      </c>
      <c r="H108" s="2" t="s">
        <v>174</v>
      </c>
      <c r="I108" s="18">
        <v>280026</v>
      </c>
      <c r="J108" s="2">
        <v>2</v>
      </c>
      <c r="K108" t="str">
        <f>_xlfn.IFNA(VLOOKUP(TRIM(E108),Doctor_Directory!$A$2:$D$31,2,FALSE),"No name")</f>
        <v>Dr. Chukwuemeka Chidozie</v>
      </c>
      <c r="L108" t="str">
        <f>VLOOKUP(TRIM(D108),[1]Hospital_Details!$A$2:$D$16,2,FALSE)</f>
        <v>MC-PHC-03</v>
      </c>
      <c r="M108" t="str">
        <f>VLOOKUP(I108,Bill_Tier_Reference!$A$2:$B$5,2,TRUE)</f>
        <v>Tier 4 - Elite</v>
      </c>
      <c r="N108" t="str">
        <f>VLOOKUP(F108,Age_Bracket_Reference!$A$2:$B$6,2,TRUE)</f>
        <v>Adult</v>
      </c>
      <c r="O108" t="str">
        <f>VLOOKUP(C108,State_Coordinator!$A$2:$B$6,2,FALSE)</f>
        <v>Ebiere Amadi</v>
      </c>
      <c r="P108" t="str">
        <f>VLOOKUP(L108,[2]Hospital_Details!$B$2:$D$16,3,FALSE)</f>
        <v>Platinum</v>
      </c>
      <c r="Q108" t="str" cm="1">
        <f t="array" ref="Q108">_xlfn.IFS(ISNUMBER(SEARCH("TB", G108)),Protocol_Reference!$B$2, ISNUMBER(SEARCH("Malaria",G108)),Protocol_Reference!$B$3, ISNUMBER(SEARCH("Typhoid",G108)),Protocol_Reference!$B$4, ISNUMBER(SEARCH("Hypertension", G108,)),Protocol_Reference!$B$5, ISNUMBER(SEARCH("Diabetes", G108)),Protocol_Reference!$B$6, ISNUMBER(SEARCH("Cholera", G108)),Protocol_Reference!$B$7, ISNUMBER(SEARCH("Pneumonia", G108)),Protocol_Reference!$B$8, TRUE, "Out of scope/ Routine Care")</f>
        <v>Metformin 500mg twice daily + dietary counselling</v>
      </c>
      <c r="R108" s="16">
        <f>IFERROR(VLOOKUP(E108,Doctor_Directory!$A$2:$D$31,4,FALSE),"Check Doctor Code")</f>
        <v>3500</v>
      </c>
      <c r="S108" s="6" cm="1">
        <f t="array" ref="S108">_xlfn.XLOOKUP(C108,Insurance_Reimbursement_Matrix!$A$2:$A$6,_xlfn.XLOOKUP(_xlfn.XLOOKUP(F108,Age_Bracket_Reference!$A$2:$A$6,Age_Bracket_Reference!$B$2:$B$6,,-1),Insurance_Reimbursement_Matrix!$B$1:$F$1,Insurance_Reimbursement_Matrix!$B$2:$F$6))</f>
        <v>0.71</v>
      </c>
    </row>
    <row r="109" spans="1:19" x14ac:dyDescent="0.25">
      <c r="A109" s="2" t="s">
        <v>379</v>
      </c>
      <c r="B109" s="2" t="s">
        <v>380</v>
      </c>
      <c r="C109" s="2" t="s">
        <v>19</v>
      </c>
      <c r="D109" s="2" t="s">
        <v>160</v>
      </c>
      <c r="E109" s="2" t="s">
        <v>378</v>
      </c>
      <c r="F109" s="2">
        <v>48</v>
      </c>
      <c r="G109" s="2" t="s">
        <v>98</v>
      </c>
      <c r="H109" s="2" t="s">
        <v>157</v>
      </c>
      <c r="I109" s="18">
        <v>4965</v>
      </c>
      <c r="J109" s="2">
        <v>7</v>
      </c>
      <c r="K109" t="str">
        <f>_xlfn.IFNA(VLOOKUP(TRIM(E109),Doctor_Directory!$A$2:$D$31,2,FALSE),"No name")</f>
        <v>Dr. Chukwuemeka Chidozie</v>
      </c>
      <c r="L109" t="str">
        <f>VLOOKUP(TRIM(D109),[1]Hospital_Details!$A$2:$D$16,2,FALSE)</f>
        <v>MC-LAG-02</v>
      </c>
      <c r="M109" t="str">
        <f>VLOOKUP(I109,Bill_Tier_Reference!$A$2:$B$5,2,TRUE)</f>
        <v>Tier 1 - Basic</v>
      </c>
      <c r="N109" t="str">
        <f>VLOOKUP(F109,Age_Bracket_Reference!$A$2:$B$6,2,TRUE)</f>
        <v>Adult</v>
      </c>
      <c r="O109" t="str">
        <f>VLOOKUP(C109,State_Coordinator!$A$2:$B$6,2,FALSE)</f>
        <v>Funmilayo Adebayo</v>
      </c>
      <c r="P109" t="str">
        <f>VLOOKUP(L109,[2]Hospital_Details!$B$2:$D$16,3,FALSE)</f>
        <v>Bronze</v>
      </c>
      <c r="Q109" t="str" cm="1">
        <f t="array" ref="Q109">_xlfn.IFS(ISNUMBER(SEARCH("TB", G109)),Protocol_Reference!$B$2, ISNUMBER(SEARCH("Malaria",G109)),Protocol_Reference!$B$3, ISNUMBER(SEARCH("Typhoid",G109)),Protocol_Reference!$B$4, ISNUMBER(SEARCH("Hypertension", G109,)),Protocol_Reference!$B$5, ISNUMBER(SEARCH("Diabetes", G109)),Protocol_Reference!$B$6, ISNUMBER(SEARCH("Cholera", G109)),Protocol_Reference!$B$7, ISNUMBER(SEARCH("Pneumonia", G109)),Protocol_Reference!$B$8, TRUE, "Out of scope/ Routine Care")</f>
        <v>Directly Observed Treatment Short-course (DOTS) - 6 month regimen</v>
      </c>
      <c r="R109" s="16">
        <f>IFERROR(VLOOKUP(E109,Doctor_Directory!$A$2:$D$31,4,FALSE),"Check Doctor Code")</f>
        <v>3500</v>
      </c>
      <c r="S109" s="6" cm="1">
        <f t="array" ref="S109">_xlfn.XLOOKUP(C109,Insurance_Reimbursement_Matrix!$A$2:$A$6,_xlfn.XLOOKUP(_xlfn.XLOOKUP(F109,Age_Bracket_Reference!$A$2:$A$6,Age_Bracket_Reference!$B$2:$B$6,,-1),Insurance_Reimbursement_Matrix!$B$1:$F$1,Insurance_Reimbursement_Matrix!$B$2:$F$6))</f>
        <v>0.66</v>
      </c>
    </row>
    <row r="110" spans="1:19" x14ac:dyDescent="0.25">
      <c r="A110" s="2" t="s">
        <v>381</v>
      </c>
      <c r="B110" s="2" t="s">
        <v>382</v>
      </c>
      <c r="C110" s="2" t="s">
        <v>19</v>
      </c>
      <c r="D110" s="2" t="s">
        <v>155</v>
      </c>
      <c r="E110" s="2" t="s">
        <v>116</v>
      </c>
      <c r="F110" s="2">
        <v>46</v>
      </c>
      <c r="G110" s="2" t="s">
        <v>59</v>
      </c>
      <c r="H110" s="2" t="s">
        <v>287</v>
      </c>
      <c r="I110" s="18">
        <v>33942</v>
      </c>
      <c r="J110" s="2">
        <v>14</v>
      </c>
      <c r="K110" t="str">
        <f>_xlfn.IFNA(VLOOKUP(TRIM(E110),Doctor_Directory!$A$2:$D$31,2,FALSE),"No name")</f>
        <v>Dr. Tunde Usman</v>
      </c>
      <c r="L110" t="str">
        <f>VLOOKUP(TRIM(D110),[1]Hospital_Details!$A$2:$D$16,2,FALSE)</f>
        <v>MC-LAG-02</v>
      </c>
      <c r="M110" t="str">
        <f>VLOOKUP(I110,Bill_Tier_Reference!$A$2:$B$5,2,TRUE)</f>
        <v>Tier 2 - Standard</v>
      </c>
      <c r="N110" t="str">
        <f>VLOOKUP(F110,Age_Bracket_Reference!$A$2:$B$6,2,TRUE)</f>
        <v>Adult</v>
      </c>
      <c r="O110" t="str">
        <f>VLOOKUP(C110,State_Coordinator!$A$2:$B$6,2,FALSE)</f>
        <v>Funmilayo Adebayo</v>
      </c>
      <c r="P110" t="str">
        <f>VLOOKUP(L110,[2]Hospital_Details!$B$2:$D$16,3,FALSE)</f>
        <v>Bronze</v>
      </c>
      <c r="Q110" t="str" cm="1">
        <f t="array" ref="Q110">_xlfn.IFS(ISNUMBER(SEARCH("TB", G110)),Protocol_Reference!$B$2, ISNUMBER(SEARCH("Malaria",G110)),Protocol_Reference!$B$3, ISNUMBER(SEARCH("Typhoid",G110)),Protocol_Reference!$B$4, ISNUMBER(SEARCH("Hypertension", G110,)),Protocol_Reference!$B$5, ISNUMBER(SEARCH("Diabetes", G110)),Protocol_Reference!$B$6, ISNUMBER(SEARCH("Cholera", G110)),Protocol_Reference!$B$7, ISNUMBER(SEARCH("Pneumonia", G110)),Protocol_Reference!$B$8, TRUE, "Out of scope/ Routine Care")</f>
        <v>Directly Observed Treatment Short-course (DOTS) - 6 month regimen</v>
      </c>
      <c r="R110" s="16">
        <f>IFERROR(VLOOKUP(E110,Doctor_Directory!$A$2:$D$31,4,FALSE),"Check Doctor Code")</f>
        <v>10000</v>
      </c>
      <c r="S110" s="6" cm="1">
        <f t="array" ref="S110">_xlfn.XLOOKUP(C110,Insurance_Reimbursement_Matrix!$A$2:$A$6,_xlfn.XLOOKUP(_xlfn.XLOOKUP(F110,Age_Bracket_Reference!$A$2:$A$6,Age_Bracket_Reference!$B$2:$B$6,,-1),Insurance_Reimbursement_Matrix!$B$1:$F$1,Insurance_Reimbursement_Matrix!$B$2:$F$6))</f>
        <v>0.66</v>
      </c>
    </row>
    <row r="111" spans="1:19" x14ac:dyDescent="0.25">
      <c r="A111" s="2" t="s">
        <v>383</v>
      </c>
      <c r="B111" s="2" t="s">
        <v>384</v>
      </c>
      <c r="C111" s="2" t="s">
        <v>37</v>
      </c>
      <c r="D111" s="2" t="s">
        <v>97</v>
      </c>
      <c r="E111" s="2" t="s">
        <v>378</v>
      </c>
      <c r="F111" s="2">
        <v>36</v>
      </c>
      <c r="G111" s="2" t="s">
        <v>29</v>
      </c>
      <c r="H111" s="2" t="s">
        <v>224</v>
      </c>
      <c r="I111" s="18">
        <v>175588</v>
      </c>
      <c r="J111" s="2">
        <v>1</v>
      </c>
      <c r="K111" t="str">
        <f>_xlfn.IFNA(VLOOKUP(TRIM(E111),Doctor_Directory!$A$2:$D$31,2,FALSE),"No name")</f>
        <v>Dr. Chukwuemeka Chidozie</v>
      </c>
      <c r="L111" t="str">
        <f>VLOOKUP(TRIM(D111),[1]Hospital_Details!$A$2:$D$16,2,FALSE)</f>
        <v>MC-ENU-02</v>
      </c>
      <c r="M111" t="str">
        <f>VLOOKUP(I111,Bill_Tier_Reference!$A$2:$B$5,2,TRUE)</f>
        <v>Tier 3 - Premium</v>
      </c>
      <c r="N111" t="str">
        <f>VLOOKUP(F111,Age_Bracket_Reference!$A$2:$B$6,2,TRUE)</f>
        <v>Adult</v>
      </c>
      <c r="O111" t="str">
        <f>VLOOKUP(C111,State_Coordinator!$A$2:$B$6,2,FALSE)</f>
        <v>Chidiebere Okoro</v>
      </c>
      <c r="P111" t="str">
        <f>VLOOKUP(L111,[2]Hospital_Details!$B$2:$D$16,3,FALSE)</f>
        <v>Bronze</v>
      </c>
      <c r="Q111" t="str" cm="1">
        <f t="array" ref="Q111">_xlfn.IFS(ISNUMBER(SEARCH("TB", G111)),Protocol_Reference!$B$2, ISNUMBER(SEARCH("Malaria",G111)),Protocol_Reference!$B$3, ISNUMBER(SEARCH("Typhoid",G111)),Protocol_Reference!$B$4, ISNUMBER(SEARCH("Hypertension", G111,)),Protocol_Reference!$B$5, ISNUMBER(SEARCH("Diabetes", G111)),Protocol_Reference!$B$6, ISNUMBER(SEARCH("Cholera", G111)),Protocol_Reference!$B$7, ISNUMBER(SEARCH("Pneumonia", G111)),Protocol_Reference!$B$8, TRUE, "Out of scope/ Routine Care")</f>
        <v>Artemisinin-based Combination Therapy (ACT) - 3-day course</v>
      </c>
      <c r="R111" s="16">
        <f>IFERROR(VLOOKUP(E111,Doctor_Directory!$A$2:$D$31,4,FALSE),"Check Doctor Code")</f>
        <v>3500</v>
      </c>
      <c r="S111" s="6" cm="1">
        <f t="array" ref="S111">_xlfn.XLOOKUP(C111,Insurance_Reimbursement_Matrix!$A$2:$A$6,_xlfn.XLOOKUP(_xlfn.XLOOKUP(F111,Age_Bracket_Reference!$A$2:$A$6,Age_Bracket_Reference!$B$2:$B$6,,-1),Insurance_Reimbursement_Matrix!$B$1:$F$1,Insurance_Reimbursement_Matrix!$B$2:$F$6))</f>
        <v>0.68</v>
      </c>
    </row>
    <row r="112" spans="1:19" x14ac:dyDescent="0.25">
      <c r="A112" s="2" t="s">
        <v>385</v>
      </c>
      <c r="B112" s="2" t="s">
        <v>386</v>
      </c>
      <c r="C112" s="2" t="s">
        <v>26</v>
      </c>
      <c r="D112" s="2" t="s">
        <v>115</v>
      </c>
      <c r="E112" s="2" t="s">
        <v>324</v>
      </c>
      <c r="F112" s="2">
        <v>1</v>
      </c>
      <c r="G112" s="2" t="s">
        <v>329</v>
      </c>
      <c r="H112" s="2" t="s">
        <v>387</v>
      </c>
      <c r="I112" s="18">
        <v>16132</v>
      </c>
      <c r="J112" s="2">
        <v>12</v>
      </c>
      <c r="K112" t="str">
        <f>_xlfn.IFNA(VLOOKUP(TRIM(E112),Doctor_Directory!$A$2:$D$31,2,FALSE),"No name")</f>
        <v>Dr. Ifeoma Ibe</v>
      </c>
      <c r="L112" t="str">
        <f>VLOOKUP(TRIM(D112),[1]Hospital_Details!$A$2:$D$16,2,FALSE)</f>
        <v>MC-KAN-02</v>
      </c>
      <c r="M112" t="str">
        <f>VLOOKUP(I112,Bill_Tier_Reference!$A$2:$B$5,2,TRUE)</f>
        <v>Tier 1 - Basic</v>
      </c>
      <c r="N112" t="str">
        <f>VLOOKUP(F112,Age_Bracket_Reference!$A$2:$B$6,2,TRUE)</f>
        <v>Child</v>
      </c>
      <c r="O112" t="str">
        <f>VLOOKUP(C112,State_Coordinator!$A$2:$B$6,2,FALSE)</f>
        <v>Hauwa Mustapha</v>
      </c>
      <c r="P112" t="str">
        <f>VLOOKUP(L112,[2]Hospital_Details!$B$2:$D$16,3,FALSE)</f>
        <v>Bronze</v>
      </c>
      <c r="Q112" t="str" cm="1">
        <f t="array" ref="Q112">_xlfn.IFS(ISNUMBER(SEARCH("TB", G112)),Protocol_Reference!$B$2, ISNUMBER(SEARCH("Malaria",G112)),Protocol_Reference!$B$3, ISNUMBER(SEARCH("Typhoid",G112)),Protocol_Reference!$B$4, ISNUMBER(SEARCH("Hypertension", G112,)),Protocol_Reference!$B$5, ISNUMBER(SEARCH("Diabetes", G112)),Protocol_Reference!$B$6, ISNUMBER(SEARCH("Cholera", G112)),Protocol_Reference!$B$7, ISNUMBER(SEARCH("Pneumonia", G112)),Protocol_Reference!$B$8, TRUE, "Out of scope/ Routine Care")</f>
        <v>Artemisinin-based Combination Therapy (ACT) - 3-day course</v>
      </c>
      <c r="R112" s="16">
        <f>IFERROR(VLOOKUP(E112,Doctor_Directory!$A$2:$D$31,4,FALSE),"Check Doctor Code")</f>
        <v>4000</v>
      </c>
      <c r="S112" s="6" cm="1">
        <f t="array" ref="S112">_xlfn.XLOOKUP(C112,Insurance_Reimbursement_Matrix!$A$2:$A$6,_xlfn.XLOOKUP(_xlfn.XLOOKUP(F112,Age_Bracket_Reference!$A$2:$A$6,Age_Bracket_Reference!$B$2:$B$6,,-1),Insurance_Reimbursement_Matrix!$B$1:$F$1,Insurance_Reimbursement_Matrix!$B$2:$F$6))</f>
        <v>0.81</v>
      </c>
    </row>
    <row r="113" spans="1:19" x14ac:dyDescent="0.25">
      <c r="A113" s="2" t="s">
        <v>388</v>
      </c>
      <c r="B113" s="2" t="s">
        <v>389</v>
      </c>
      <c r="C113" s="2" t="s">
        <v>12</v>
      </c>
      <c r="D113" s="2" t="s">
        <v>33</v>
      </c>
      <c r="E113" s="2" t="s">
        <v>14</v>
      </c>
      <c r="F113" s="2">
        <v>44</v>
      </c>
      <c r="G113" s="2" t="s">
        <v>329</v>
      </c>
      <c r="H113" s="2" t="s">
        <v>390</v>
      </c>
      <c r="I113" s="18">
        <v>13211</v>
      </c>
      <c r="J113" s="2">
        <v>3</v>
      </c>
      <c r="K113" t="str">
        <f>_xlfn.IFNA(VLOOKUP(TRIM(E113),Doctor_Directory!$A$2:$D$31,2,FALSE),"No name")</f>
        <v>Dr. Blessing Adekunle</v>
      </c>
      <c r="L113" t="str">
        <f>VLOOKUP(TRIM(D113),[1]Hospital_Details!$A$2:$D$16,2,FALSE)</f>
        <v>MC-PHC-02</v>
      </c>
      <c r="M113" t="str">
        <f>VLOOKUP(I113,Bill_Tier_Reference!$A$2:$B$5,2,TRUE)</f>
        <v>Tier 1 - Basic</v>
      </c>
      <c r="N113" t="str">
        <f>VLOOKUP(F113,Age_Bracket_Reference!$A$2:$B$6,2,TRUE)</f>
        <v>Adult</v>
      </c>
      <c r="O113" t="str">
        <f>VLOOKUP(C113,State_Coordinator!$A$2:$B$6,2,FALSE)</f>
        <v>Ebiere Amadi</v>
      </c>
      <c r="P113" t="str">
        <f>VLOOKUP(L113,[2]Hospital_Details!$B$2:$D$16,3,FALSE)</f>
        <v>Platinum</v>
      </c>
      <c r="Q113" t="str" cm="1">
        <f t="array" ref="Q113">_xlfn.IFS(ISNUMBER(SEARCH("TB", G113)),Protocol_Reference!$B$2, ISNUMBER(SEARCH("Malaria",G113)),Protocol_Reference!$B$3, ISNUMBER(SEARCH("Typhoid",G113)),Protocol_Reference!$B$4, ISNUMBER(SEARCH("Hypertension", G113,)),Protocol_Reference!$B$5, ISNUMBER(SEARCH("Diabetes", G113)),Protocol_Reference!$B$6, ISNUMBER(SEARCH("Cholera", G113)),Protocol_Reference!$B$7, ISNUMBER(SEARCH("Pneumonia", G113)),Protocol_Reference!$B$8, TRUE, "Out of scope/ Routine Care")</f>
        <v>Artemisinin-based Combination Therapy (ACT) - 3-day course</v>
      </c>
      <c r="R113" s="16">
        <f>IFERROR(VLOOKUP(E113,Doctor_Directory!$A$2:$D$31,4,FALSE),"Check Doctor Code")</f>
        <v>10000</v>
      </c>
      <c r="S113" s="6" cm="1">
        <f t="array" ref="S113">_xlfn.XLOOKUP(C113,Insurance_Reimbursement_Matrix!$A$2:$A$6,_xlfn.XLOOKUP(_xlfn.XLOOKUP(F113,Age_Bracket_Reference!$A$2:$A$6,Age_Bracket_Reference!$B$2:$B$6,,-1),Insurance_Reimbursement_Matrix!$B$1:$F$1,Insurance_Reimbursement_Matrix!$B$2:$F$6))</f>
        <v>0.71</v>
      </c>
    </row>
    <row r="114" spans="1:19" x14ac:dyDescent="0.25">
      <c r="A114" s="2" t="s">
        <v>391</v>
      </c>
      <c r="B114" s="2" t="s">
        <v>392</v>
      </c>
      <c r="C114" s="2" t="s">
        <v>19</v>
      </c>
      <c r="D114" s="2" t="s">
        <v>102</v>
      </c>
      <c r="E114" s="2" t="s">
        <v>80</v>
      </c>
      <c r="F114" s="2">
        <v>35</v>
      </c>
      <c r="G114" s="2" t="s">
        <v>40</v>
      </c>
      <c r="H114" s="2" t="s">
        <v>336</v>
      </c>
      <c r="I114" s="18">
        <v>431758</v>
      </c>
      <c r="J114" s="2">
        <v>5</v>
      </c>
      <c r="K114" t="str">
        <f>_xlfn.IFNA(VLOOKUP(TRIM(E114),Doctor_Directory!$A$2:$D$31,2,FALSE),"No name")</f>
        <v>Dr. Folake Bamidele</v>
      </c>
      <c r="L114" t="str">
        <f>VLOOKUP(TRIM(D114),[1]Hospital_Details!$A$2:$D$16,2,FALSE)</f>
        <v>MC-LAG-03</v>
      </c>
      <c r="M114" t="str">
        <f>VLOOKUP(I114,Bill_Tier_Reference!$A$2:$B$5,2,TRUE)</f>
        <v>Tier 4 - Elite</v>
      </c>
      <c r="N114" t="str">
        <f>VLOOKUP(F114,Age_Bracket_Reference!$A$2:$B$6,2,TRUE)</f>
        <v>Adult</v>
      </c>
      <c r="O114" t="str">
        <f>VLOOKUP(C114,State_Coordinator!$A$2:$B$6,2,FALSE)</f>
        <v>Funmilayo Adebayo</v>
      </c>
      <c r="P114" t="str">
        <f>VLOOKUP(L114,[2]Hospital_Details!$B$2:$D$16,3,FALSE)</f>
        <v>Bronze</v>
      </c>
      <c r="Q114" t="str" cm="1">
        <f t="array" ref="Q114">_xlfn.IFS(ISNUMBER(SEARCH("TB", G114)),Protocol_Reference!$B$2, ISNUMBER(SEARCH("Malaria",G114)),Protocol_Reference!$B$3, ISNUMBER(SEARCH("Typhoid",G114)),Protocol_Reference!$B$4, ISNUMBER(SEARCH("Hypertension", G114,)),Protocol_Reference!$B$5, ISNUMBER(SEARCH("Diabetes", G114)),Protocol_Reference!$B$6, ISNUMBER(SEARCH("Cholera", G114)),Protocol_Reference!$B$7, ISNUMBER(SEARCH("Pneumonia", G114)),Protocol_Reference!$B$8, TRUE, "Out of scope/ Routine Care")</f>
        <v>Oral Rehydration Therapy + Doxycycline</v>
      </c>
      <c r="R114" s="16">
        <f>IFERROR(VLOOKUP(E114,Doctor_Directory!$A$2:$D$31,4,FALSE),"Check Doctor Code")</f>
        <v>5000</v>
      </c>
      <c r="S114" s="6" cm="1">
        <f t="array" ref="S114">_xlfn.XLOOKUP(C114,Insurance_Reimbursement_Matrix!$A$2:$A$6,_xlfn.XLOOKUP(_xlfn.XLOOKUP(F114,Age_Bracket_Reference!$A$2:$A$6,Age_Bracket_Reference!$B$2:$B$6,,-1),Insurance_Reimbursement_Matrix!$B$1:$F$1,Insurance_Reimbursement_Matrix!$B$2:$F$6))</f>
        <v>0.66</v>
      </c>
    </row>
    <row r="115" spans="1:19" x14ac:dyDescent="0.25">
      <c r="A115" s="2" t="s">
        <v>393</v>
      </c>
      <c r="B115" s="2" t="s">
        <v>394</v>
      </c>
      <c r="C115" s="2" t="s">
        <v>19</v>
      </c>
      <c r="D115" s="2" t="s">
        <v>160</v>
      </c>
      <c r="E115" s="2" t="s">
        <v>106</v>
      </c>
      <c r="F115" s="2">
        <v>15</v>
      </c>
      <c r="G115" s="2" t="s">
        <v>253</v>
      </c>
      <c r="H115" s="2" t="s">
        <v>171</v>
      </c>
      <c r="I115" s="18">
        <v>18945</v>
      </c>
      <c r="J115" s="2">
        <v>4</v>
      </c>
      <c r="K115" t="str">
        <f>_xlfn.IFNA(VLOOKUP(TRIM(E115),Doctor_Directory!$A$2:$D$31,2,FALSE),"No name")</f>
        <v>Dr. Oluwaseun Fashola</v>
      </c>
      <c r="L115" t="str">
        <f>VLOOKUP(TRIM(D115),[1]Hospital_Details!$A$2:$D$16,2,FALSE)</f>
        <v>MC-LAG-02</v>
      </c>
      <c r="M115" t="str">
        <f>VLOOKUP(I115,Bill_Tier_Reference!$A$2:$B$5,2,TRUE)</f>
        <v>Tier 1 - Basic</v>
      </c>
      <c r="N115" t="str">
        <f>VLOOKUP(F115,Age_Bracket_Reference!$A$2:$B$6,2,TRUE)</f>
        <v>Teen</v>
      </c>
      <c r="O115" t="str">
        <f>VLOOKUP(C115,State_Coordinator!$A$2:$B$6,2,FALSE)</f>
        <v>Funmilayo Adebayo</v>
      </c>
      <c r="P115" t="str">
        <f>VLOOKUP(L115,[2]Hospital_Details!$B$2:$D$16,3,FALSE)</f>
        <v>Bronze</v>
      </c>
      <c r="Q115" t="str" cm="1">
        <f t="array" ref="Q115">_xlfn.IFS(ISNUMBER(SEARCH("TB", G115)),Protocol_Reference!$B$2, ISNUMBER(SEARCH("Malaria",G115)),Protocol_Reference!$B$3, ISNUMBER(SEARCH("Typhoid",G115)),Protocol_Reference!$B$4, ISNUMBER(SEARCH("Hypertension", G115,)),Protocol_Reference!$B$5, ISNUMBER(SEARCH("Diabetes", G115)),Protocol_Reference!$B$6, ISNUMBER(SEARCH("Cholera", G115)),Protocol_Reference!$B$7, ISNUMBER(SEARCH("Pneumonia", G115)),Protocol_Reference!$B$8, TRUE, "Out of scope/ Routine Care")</f>
        <v>Artemisinin-based Combination Therapy (ACT) - 3-day course</v>
      </c>
      <c r="R115" s="16">
        <f>IFERROR(VLOOKUP(E115,Doctor_Directory!$A$2:$D$31,4,FALSE),"Check Doctor Code")</f>
        <v>6000</v>
      </c>
      <c r="S115" s="6" cm="1">
        <f t="array" ref="S115">_xlfn.XLOOKUP(C115,Insurance_Reimbursement_Matrix!$A$2:$A$6,_xlfn.XLOOKUP(_xlfn.XLOOKUP(F115,Age_Bracket_Reference!$A$2:$A$6,Age_Bracket_Reference!$B$2:$B$6,,-1),Insurance_Reimbursement_Matrix!$B$1:$F$1,Insurance_Reimbursement_Matrix!$B$2:$F$6))</f>
        <v>0.72</v>
      </c>
    </row>
    <row r="116" spans="1:19" x14ac:dyDescent="0.25">
      <c r="A116" s="2" t="s">
        <v>395</v>
      </c>
      <c r="B116" s="2" t="s">
        <v>396</v>
      </c>
      <c r="C116" s="2" t="s">
        <v>19</v>
      </c>
      <c r="D116" s="2" t="s">
        <v>20</v>
      </c>
      <c r="E116" s="2" t="s">
        <v>231</v>
      </c>
      <c r="F116" s="2">
        <v>39</v>
      </c>
      <c r="G116" s="2" t="s">
        <v>129</v>
      </c>
      <c r="H116" s="2" t="s">
        <v>305</v>
      </c>
      <c r="I116" s="18">
        <v>11372</v>
      </c>
      <c r="J116" s="2">
        <v>8</v>
      </c>
      <c r="K116" t="str">
        <f>_xlfn.IFNA(VLOOKUP(TRIM(E116),Doctor_Directory!$A$2:$D$31,2,FALSE),"No name")</f>
        <v>Dr. Bimpe Mohammed</v>
      </c>
      <c r="L116" t="str">
        <f>VLOOKUP(TRIM(D116),[1]Hospital_Details!$A$2:$D$16,2,FALSE)</f>
        <v>MC-LAG-01</v>
      </c>
      <c r="M116" t="str">
        <f>VLOOKUP(I116,Bill_Tier_Reference!$A$2:$B$5,2,TRUE)</f>
        <v>Tier 1 - Basic</v>
      </c>
      <c r="N116" t="str">
        <f>VLOOKUP(F116,Age_Bracket_Reference!$A$2:$B$6,2,TRUE)</f>
        <v>Adult</v>
      </c>
      <c r="O116" t="str">
        <f>VLOOKUP(C116,State_Coordinator!$A$2:$B$6,2,FALSE)</f>
        <v>Funmilayo Adebayo</v>
      </c>
      <c r="P116" t="str">
        <f>VLOOKUP(L116,[2]Hospital_Details!$B$2:$D$16,3,FALSE)</f>
        <v>Platinum</v>
      </c>
      <c r="Q116" t="str" cm="1">
        <f t="array" ref="Q116">_xlfn.IFS(ISNUMBER(SEARCH("TB", G116)),Protocol_Reference!$B$2, ISNUMBER(SEARCH("Malaria",G116)),Protocol_Reference!$B$3, ISNUMBER(SEARCH("Typhoid",G116)),Protocol_Reference!$B$4, ISNUMBER(SEARCH("Hypertension", G116,)),Protocol_Reference!$B$5, ISNUMBER(SEARCH("Diabetes", G116)),Protocol_Reference!$B$6, ISNUMBER(SEARCH("Cholera", G116)),Protocol_Reference!$B$7, ISNUMBER(SEARCH("Pneumonia", G116)),Protocol_Reference!$B$8, TRUE, "Out of scope/ Routine Care")</f>
        <v>Artemisinin-based Combination Therapy (ACT) - 3-day course</v>
      </c>
      <c r="R116" s="16">
        <f>IFERROR(VLOOKUP(E116,Doctor_Directory!$A$2:$D$31,4,FALSE),"Check Doctor Code")</f>
        <v>4000</v>
      </c>
      <c r="S116" s="6" cm="1">
        <f t="array" ref="S116">_xlfn.XLOOKUP(C116,Insurance_Reimbursement_Matrix!$A$2:$A$6,_xlfn.XLOOKUP(_xlfn.XLOOKUP(F116,Age_Bracket_Reference!$A$2:$A$6,Age_Bracket_Reference!$B$2:$B$6,,-1),Insurance_Reimbursement_Matrix!$B$1:$F$1,Insurance_Reimbursement_Matrix!$B$2:$F$6))</f>
        <v>0.66</v>
      </c>
    </row>
    <row r="117" spans="1:19" x14ac:dyDescent="0.25">
      <c r="A117" s="2" t="s">
        <v>397</v>
      </c>
      <c r="B117" s="2" t="s">
        <v>398</v>
      </c>
      <c r="C117" s="2" t="s">
        <v>44</v>
      </c>
      <c r="D117" s="2" t="s">
        <v>45</v>
      </c>
      <c r="E117" s="2" t="s">
        <v>21</v>
      </c>
      <c r="F117" s="2">
        <v>69</v>
      </c>
      <c r="G117" s="2" t="s">
        <v>117</v>
      </c>
      <c r="H117" s="2" t="s">
        <v>361</v>
      </c>
      <c r="I117" s="18">
        <v>19392</v>
      </c>
      <c r="J117" s="2">
        <v>7</v>
      </c>
      <c r="K117" t="str">
        <f>_xlfn.IFNA(VLOOKUP(TRIM(E117),Doctor_Directory!$A$2:$D$31,2,FALSE),"No name")</f>
        <v>Dr. Amaka Nwosu</v>
      </c>
      <c r="L117" t="str">
        <f>VLOOKUP(TRIM(D117),[1]Hospital_Details!$A$2:$D$16,2,FALSE)</f>
        <v>MC-ABJ-01</v>
      </c>
      <c r="M117" t="str">
        <f>VLOOKUP(I117,Bill_Tier_Reference!$A$2:$B$5,2,TRUE)</f>
        <v>Tier 1 - Basic</v>
      </c>
      <c r="N117" t="str">
        <f>VLOOKUP(F117,Age_Bracket_Reference!$A$2:$B$6,2,TRUE)</f>
        <v>Senior</v>
      </c>
      <c r="O117" t="str">
        <f>VLOOKUP(C117,State_Coordinator!$A$2:$B$6,2,FALSE)</f>
        <v>Ibrahim Garba</v>
      </c>
      <c r="P117" t="str">
        <f>VLOOKUP(L117,[2]Hospital_Details!$B$2:$D$16,3,FALSE)</f>
        <v>Platinum</v>
      </c>
      <c r="Q117" t="str" cm="1">
        <f t="array" ref="Q117">_xlfn.IFS(ISNUMBER(SEARCH("TB", G117)),Protocol_Reference!$B$2, ISNUMBER(SEARCH("Malaria",G117)),Protocol_Reference!$B$3, ISNUMBER(SEARCH("Typhoid",G117)),Protocol_Reference!$B$4, ISNUMBER(SEARCH("Hypertension", G117,)),Protocol_Reference!$B$5, ISNUMBER(SEARCH("Diabetes", G117)),Protocol_Reference!$B$6, ISNUMBER(SEARCH("Cholera", G117)),Protocol_Reference!$B$7, ISNUMBER(SEARCH("Pneumonia", G117)),Protocol_Reference!$B$8, TRUE, "Out of scope/ Routine Care")</f>
        <v>Out of scope/ Routine Care</v>
      </c>
      <c r="R117" s="16">
        <f>IFERROR(VLOOKUP(E117,Doctor_Directory!$A$2:$D$31,4,FALSE),"Check Doctor Code")</f>
        <v>5500</v>
      </c>
      <c r="S117" s="6" cm="1">
        <f t="array" ref="S117">_xlfn.XLOOKUP(C117,Insurance_Reimbursement_Matrix!$A$2:$A$6,_xlfn.XLOOKUP(_xlfn.XLOOKUP(F117,Age_Bracket_Reference!$A$2:$A$6,Age_Bracket_Reference!$B$2:$B$6,,-1),Insurance_Reimbursement_Matrix!$B$1:$F$1,Insurance_Reimbursement_Matrix!$B$2:$F$6))</f>
        <v>0.79</v>
      </c>
    </row>
    <row r="118" spans="1:19" x14ac:dyDescent="0.25">
      <c r="A118" s="2" t="s">
        <v>399</v>
      </c>
      <c r="B118" s="2" t="s">
        <v>400</v>
      </c>
      <c r="C118" s="2" t="s">
        <v>12</v>
      </c>
      <c r="D118" s="2" t="s">
        <v>13</v>
      </c>
      <c r="E118" s="2" t="s">
        <v>14</v>
      </c>
      <c r="F118" s="2">
        <v>10</v>
      </c>
      <c r="G118" s="2" t="s">
        <v>89</v>
      </c>
      <c r="H118" s="2" t="s">
        <v>287</v>
      </c>
      <c r="I118" s="18">
        <v>128008</v>
      </c>
      <c r="J118" s="2">
        <v>2</v>
      </c>
      <c r="K118" t="str">
        <f>_xlfn.IFNA(VLOOKUP(TRIM(E118),Doctor_Directory!$A$2:$D$31,2,FALSE),"No name")</f>
        <v>Dr. Blessing Adekunle</v>
      </c>
      <c r="L118" t="str">
        <f>VLOOKUP(TRIM(D118),[1]Hospital_Details!$A$2:$D$16,2,FALSE)</f>
        <v>MC-PHC-01</v>
      </c>
      <c r="M118" t="str">
        <f>VLOOKUP(I118,Bill_Tier_Reference!$A$2:$B$5,2,TRUE)</f>
        <v>Tier 3 - Premium</v>
      </c>
      <c r="N118" t="str">
        <f>VLOOKUP(F118,Age_Bracket_Reference!$A$2:$B$6,2,TRUE)</f>
        <v>Child</v>
      </c>
      <c r="O118" t="str">
        <f>VLOOKUP(C118,State_Coordinator!$A$2:$B$6,2,FALSE)</f>
        <v>Ebiere Amadi</v>
      </c>
      <c r="P118" t="str">
        <f>VLOOKUP(L118,[2]Hospital_Details!$B$2:$D$16,3,FALSE)</f>
        <v>Bronze</v>
      </c>
      <c r="Q118" t="str" cm="1">
        <f t="array" ref="Q118">_xlfn.IFS(ISNUMBER(SEARCH("TB", G118)),Protocol_Reference!$B$2, ISNUMBER(SEARCH("Malaria",G118)),Protocol_Reference!$B$3, ISNUMBER(SEARCH("Typhoid",G118)),Protocol_Reference!$B$4, ISNUMBER(SEARCH("Hypertension", G118,)),Protocol_Reference!$B$5, ISNUMBER(SEARCH("Diabetes", G118)),Protocol_Reference!$B$6, ISNUMBER(SEARCH("Cholera", G118)),Protocol_Reference!$B$7, ISNUMBER(SEARCH("Pneumonia", G118)),Protocol_Reference!$B$8, TRUE, "Out of scope/ Routine Care")</f>
        <v>Out of scope/ Routine Care</v>
      </c>
      <c r="R118" s="16">
        <f>IFERROR(VLOOKUP(E118,Doctor_Directory!$A$2:$D$31,4,FALSE),"Check Doctor Code")</f>
        <v>10000</v>
      </c>
      <c r="S118" s="6" cm="1">
        <f t="array" ref="S118">_xlfn.XLOOKUP(C118,Insurance_Reimbursement_Matrix!$A$2:$A$6,_xlfn.XLOOKUP(_xlfn.XLOOKUP(F118,Age_Bracket_Reference!$A$2:$A$6,Age_Bracket_Reference!$B$2:$B$6,,-1),Insurance_Reimbursement_Matrix!$B$1:$F$1,Insurance_Reimbursement_Matrix!$B$2:$F$6))</f>
        <v>0.82</v>
      </c>
    </row>
    <row r="119" spans="1:19" x14ac:dyDescent="0.25">
      <c r="A119" s="2" t="s">
        <v>401</v>
      </c>
      <c r="B119" s="2" t="s">
        <v>402</v>
      </c>
      <c r="C119" s="2" t="s">
        <v>26</v>
      </c>
      <c r="D119" s="2" t="s">
        <v>150</v>
      </c>
      <c r="E119" s="2" t="s">
        <v>46</v>
      </c>
      <c r="F119" s="2">
        <v>80</v>
      </c>
      <c r="G119" s="2" t="s">
        <v>40</v>
      </c>
      <c r="H119" s="2" t="s">
        <v>86</v>
      </c>
      <c r="I119" s="18">
        <v>25775</v>
      </c>
      <c r="J119" s="2">
        <v>7</v>
      </c>
      <c r="K119" t="str">
        <f>_xlfn.IFNA(VLOOKUP(TRIM(E119),Doctor_Directory!$A$2:$D$31,2,FALSE),"No name")</f>
        <v>Dr. Amaka Okafor</v>
      </c>
      <c r="L119" t="str">
        <f>VLOOKUP(TRIM(D119),[1]Hospital_Details!$A$2:$D$16,2,FALSE)</f>
        <v>MC-KAN-01</v>
      </c>
      <c r="M119" t="str">
        <f>VLOOKUP(I119,Bill_Tier_Reference!$A$2:$B$5,2,TRUE)</f>
        <v>Tier 2 - Standard</v>
      </c>
      <c r="N119" t="str">
        <f>VLOOKUP(F119,Age_Bracket_Reference!$A$2:$B$6,2,TRUE)</f>
        <v>Senior</v>
      </c>
      <c r="O119" t="str">
        <f>VLOOKUP(C119,State_Coordinator!$A$2:$B$6,2,FALSE)</f>
        <v>Hauwa Mustapha</v>
      </c>
      <c r="P119" t="str">
        <f>VLOOKUP(L119,[2]Hospital_Details!$B$2:$D$16,3,FALSE)</f>
        <v>Silver</v>
      </c>
      <c r="Q119" t="str" cm="1">
        <f t="array" ref="Q119">_xlfn.IFS(ISNUMBER(SEARCH("TB", G119)),Protocol_Reference!$B$2, ISNUMBER(SEARCH("Malaria",G119)),Protocol_Reference!$B$3, ISNUMBER(SEARCH("Typhoid",G119)),Protocol_Reference!$B$4, ISNUMBER(SEARCH("Hypertension", G119,)),Protocol_Reference!$B$5, ISNUMBER(SEARCH("Diabetes", G119)),Protocol_Reference!$B$6, ISNUMBER(SEARCH("Cholera", G119)),Protocol_Reference!$B$7, ISNUMBER(SEARCH("Pneumonia", G119)),Protocol_Reference!$B$8, TRUE, "Out of scope/ Routine Care")</f>
        <v>Oral Rehydration Therapy + Doxycycline</v>
      </c>
      <c r="R119" s="16">
        <f>IFERROR(VLOOKUP(E119,Doctor_Directory!$A$2:$D$31,4,FALSE),"Check Doctor Code")</f>
        <v>4000</v>
      </c>
      <c r="S119" s="6" cm="1">
        <f t="array" ref="S119">_xlfn.XLOOKUP(C119,Insurance_Reimbursement_Matrix!$A$2:$A$6,_xlfn.XLOOKUP(_xlfn.XLOOKUP(F119,Age_Bracket_Reference!$A$2:$A$6,Age_Bracket_Reference!$B$2:$B$6,,-1),Insurance_Reimbursement_Matrix!$B$1:$F$1,Insurance_Reimbursement_Matrix!$B$2:$F$6))</f>
        <v>0.76</v>
      </c>
    </row>
    <row r="120" spans="1:19" x14ac:dyDescent="0.25">
      <c r="A120" s="2" t="s">
        <v>403</v>
      </c>
      <c r="B120" s="2" t="s">
        <v>404</v>
      </c>
      <c r="C120" s="2" t="s">
        <v>37</v>
      </c>
      <c r="D120" s="2" t="s">
        <v>79</v>
      </c>
      <c r="E120" s="2" t="s">
        <v>21</v>
      </c>
      <c r="F120" s="2">
        <v>40</v>
      </c>
      <c r="G120" s="2" t="s">
        <v>53</v>
      </c>
      <c r="H120" s="2" t="s">
        <v>405</v>
      </c>
      <c r="I120" s="18">
        <v>10260</v>
      </c>
      <c r="J120" s="2">
        <v>9</v>
      </c>
      <c r="K120" t="str">
        <f>_xlfn.IFNA(VLOOKUP(TRIM(E120),Doctor_Directory!$A$2:$D$31,2,FALSE),"No name")</f>
        <v>Dr. Amaka Nwosu</v>
      </c>
      <c r="L120" t="str">
        <f>VLOOKUP(TRIM(D120),[1]Hospital_Details!$A$2:$D$16,2,FALSE)</f>
        <v>MC-ENU-01</v>
      </c>
      <c r="M120" t="str">
        <f>VLOOKUP(I120,Bill_Tier_Reference!$A$2:$B$5,2,TRUE)</f>
        <v>Tier 1 - Basic</v>
      </c>
      <c r="N120" t="str">
        <f>VLOOKUP(F120,Age_Bracket_Reference!$A$2:$B$6,2,TRUE)</f>
        <v>Adult</v>
      </c>
      <c r="O120" t="str">
        <f>VLOOKUP(C120,State_Coordinator!$A$2:$B$6,2,FALSE)</f>
        <v>Chidiebere Okoro</v>
      </c>
      <c r="P120" t="str">
        <f>VLOOKUP(L120,[2]Hospital_Details!$B$2:$D$16,3,FALSE)</f>
        <v>Gold</v>
      </c>
      <c r="Q120" t="str" cm="1">
        <f t="array" ref="Q120">_xlfn.IFS(ISNUMBER(SEARCH("TB", G120)),Protocol_Reference!$B$2, ISNUMBER(SEARCH("Malaria",G120)),Protocol_Reference!$B$3, ISNUMBER(SEARCH("Typhoid",G120)),Protocol_Reference!$B$4, ISNUMBER(SEARCH("Hypertension", G120,)),Protocol_Reference!$B$5, ISNUMBER(SEARCH("Diabetes", G120)),Protocol_Reference!$B$6, ISNUMBER(SEARCH("Cholera", G120)),Protocol_Reference!$B$7, ISNUMBER(SEARCH("Pneumonia", G120)),Protocol_Reference!$B$8, TRUE, "Out of scope/ Routine Care")</f>
        <v>Out of scope/ Routine Care</v>
      </c>
      <c r="R120" s="16">
        <f>IFERROR(VLOOKUP(E120,Doctor_Directory!$A$2:$D$31,4,FALSE),"Check Doctor Code")</f>
        <v>5500</v>
      </c>
      <c r="S120" s="6" cm="1">
        <f t="array" ref="S120">_xlfn.XLOOKUP(C120,Insurance_Reimbursement_Matrix!$A$2:$A$6,_xlfn.XLOOKUP(_xlfn.XLOOKUP(F120,Age_Bracket_Reference!$A$2:$A$6,Age_Bracket_Reference!$B$2:$B$6,,-1),Insurance_Reimbursement_Matrix!$B$1:$F$1,Insurance_Reimbursement_Matrix!$B$2:$F$6))</f>
        <v>0.68</v>
      </c>
    </row>
    <row r="121" spans="1:19" x14ac:dyDescent="0.25">
      <c r="A121" s="2" t="s">
        <v>406</v>
      </c>
      <c r="B121" s="2" t="s">
        <v>407</v>
      </c>
      <c r="C121" s="2" t="s">
        <v>37</v>
      </c>
      <c r="D121" s="2" t="s">
        <v>38</v>
      </c>
      <c r="E121" s="2" t="s">
        <v>231</v>
      </c>
      <c r="F121" s="2">
        <v>45</v>
      </c>
      <c r="G121" s="2" t="s">
        <v>22</v>
      </c>
      <c r="H121" s="2" t="s">
        <v>358</v>
      </c>
      <c r="I121" s="18">
        <v>88474</v>
      </c>
      <c r="J121" s="2">
        <v>4</v>
      </c>
      <c r="K121" t="str">
        <f>_xlfn.IFNA(VLOOKUP(TRIM(E121),Doctor_Directory!$A$2:$D$31,2,FALSE),"No name")</f>
        <v>Dr. Bimpe Mohammed</v>
      </c>
      <c r="L121" t="str">
        <f>VLOOKUP(TRIM(D121),[1]Hospital_Details!$A$2:$D$16,2,FALSE)</f>
        <v>MC-ENU-03</v>
      </c>
      <c r="M121" t="str">
        <f>VLOOKUP(I121,Bill_Tier_Reference!$A$2:$B$5,2,TRUE)</f>
        <v>Tier 3 - Premium</v>
      </c>
      <c r="N121" t="str">
        <f>VLOOKUP(F121,Age_Bracket_Reference!$A$2:$B$6,2,TRUE)</f>
        <v>Adult</v>
      </c>
      <c r="O121" t="str">
        <f>VLOOKUP(C121,State_Coordinator!$A$2:$B$6,2,FALSE)</f>
        <v>Chidiebere Okoro</v>
      </c>
      <c r="P121" t="str">
        <f>VLOOKUP(L121,[2]Hospital_Details!$B$2:$D$16,3,FALSE)</f>
        <v>Gold</v>
      </c>
      <c r="Q121" t="str" cm="1">
        <f t="array" ref="Q121">_xlfn.IFS(ISNUMBER(SEARCH("TB", G121)),Protocol_Reference!$B$2, ISNUMBER(SEARCH("Malaria",G121)),Protocol_Reference!$B$3, ISNUMBER(SEARCH("Typhoid",G121)),Protocol_Reference!$B$4, ISNUMBER(SEARCH("Hypertension", G121,)),Protocol_Reference!$B$5, ISNUMBER(SEARCH("Diabetes", G121)),Protocol_Reference!$B$6, ISNUMBER(SEARCH("Cholera", G121)),Protocol_Reference!$B$7, ISNUMBER(SEARCH("Pneumonia", G121)),Protocol_Reference!$B$8, TRUE, "Out of scope/ Routine Care")</f>
        <v>Out of scope/ Routine Care</v>
      </c>
      <c r="R121" s="16">
        <f>IFERROR(VLOOKUP(E121,Doctor_Directory!$A$2:$D$31,4,FALSE),"Check Doctor Code")</f>
        <v>4000</v>
      </c>
      <c r="S121" s="6" cm="1">
        <f t="array" ref="S121">_xlfn.XLOOKUP(C121,Insurance_Reimbursement_Matrix!$A$2:$A$6,_xlfn.XLOOKUP(_xlfn.XLOOKUP(F121,Age_Bracket_Reference!$A$2:$A$6,Age_Bracket_Reference!$B$2:$B$6,,-1),Insurance_Reimbursement_Matrix!$B$1:$F$1,Insurance_Reimbursement_Matrix!$B$2:$F$6))</f>
        <v>0.68</v>
      </c>
    </row>
    <row r="122" spans="1:19" x14ac:dyDescent="0.25">
      <c r="A122" s="2" t="s">
        <v>408</v>
      </c>
      <c r="B122" s="2" t="s">
        <v>409</v>
      </c>
      <c r="C122" s="2" t="s">
        <v>44</v>
      </c>
      <c r="D122" s="2" t="s">
        <v>186</v>
      </c>
      <c r="E122" s="2" t="s">
        <v>80</v>
      </c>
      <c r="F122" s="2">
        <v>23</v>
      </c>
      <c r="G122" s="2" t="s">
        <v>85</v>
      </c>
      <c r="H122" s="2" t="s">
        <v>278</v>
      </c>
      <c r="I122" s="18">
        <v>173886</v>
      </c>
      <c r="J122" s="2">
        <v>14</v>
      </c>
      <c r="K122" t="str">
        <f>_xlfn.IFNA(VLOOKUP(TRIM(E122),Doctor_Directory!$A$2:$D$31,2,FALSE),"No name")</f>
        <v>Dr. Folake Bamidele</v>
      </c>
      <c r="L122" t="str">
        <f>VLOOKUP(TRIM(D122),[1]Hospital_Details!$A$2:$D$16,2,FALSE)</f>
        <v>MC-ABJ-03</v>
      </c>
      <c r="M122" t="str">
        <f>VLOOKUP(I122,Bill_Tier_Reference!$A$2:$B$5,2,TRUE)</f>
        <v>Tier 3 - Premium</v>
      </c>
      <c r="N122" t="str">
        <f>VLOOKUP(F122,Age_Bracket_Reference!$A$2:$B$6,2,TRUE)</f>
        <v>Young Adult</v>
      </c>
      <c r="O122" t="str">
        <f>VLOOKUP(C122,State_Coordinator!$A$2:$B$6,2,FALSE)</f>
        <v>Ibrahim Garba</v>
      </c>
      <c r="P122" t="str">
        <f>VLOOKUP(L122,[2]Hospital_Details!$B$2:$D$16,3,FALSE)</f>
        <v>Silver</v>
      </c>
      <c r="Q122" t="str" cm="1">
        <f t="array" ref="Q122">_xlfn.IFS(ISNUMBER(SEARCH("TB", G122)),Protocol_Reference!$B$2, ISNUMBER(SEARCH("Malaria",G122)),Protocol_Reference!$B$3, ISNUMBER(SEARCH("Typhoid",G122)),Protocol_Reference!$B$4, ISNUMBER(SEARCH("Hypertension", G122,)),Protocol_Reference!$B$5, ISNUMBER(SEARCH("Diabetes", G122)),Protocol_Reference!$B$6, ISNUMBER(SEARCH("Cholera", G122)),Protocol_Reference!$B$7, ISNUMBER(SEARCH("Pneumonia", G122)),Protocol_Reference!$B$8, TRUE, "Out of scope/ Routine Care")</f>
        <v>Artemisinin-based Combination Therapy (ACT) - 3-day course</v>
      </c>
      <c r="R122" s="16">
        <f>IFERROR(VLOOKUP(E122,Doctor_Directory!$A$2:$D$31,4,FALSE),"Check Doctor Code")</f>
        <v>5000</v>
      </c>
      <c r="S122" s="6" cm="1">
        <f t="array" ref="S122">_xlfn.XLOOKUP(C122,Insurance_Reimbursement_Matrix!$A$2:$A$6,_xlfn.XLOOKUP(_xlfn.XLOOKUP(F122,Age_Bracket_Reference!$A$2:$A$6,Age_Bracket_Reference!$B$2:$B$6,,-1),Insurance_Reimbursement_Matrix!$B$1:$F$1,Insurance_Reimbursement_Matrix!$B$2:$F$6))</f>
        <v>0.65</v>
      </c>
    </row>
    <row r="123" spans="1:19" x14ac:dyDescent="0.25">
      <c r="A123" s="2" t="s">
        <v>410</v>
      </c>
      <c r="B123" s="2" t="s">
        <v>411</v>
      </c>
      <c r="C123" s="2" t="s">
        <v>44</v>
      </c>
      <c r="D123" s="2" t="s">
        <v>138</v>
      </c>
      <c r="E123" s="2" t="s">
        <v>80</v>
      </c>
      <c r="F123" s="2">
        <v>61</v>
      </c>
      <c r="G123" s="2" t="s">
        <v>40</v>
      </c>
      <c r="H123" s="2" t="s">
        <v>278</v>
      </c>
      <c r="I123" s="18">
        <v>111002</v>
      </c>
      <c r="J123" s="2">
        <v>9</v>
      </c>
      <c r="K123" t="str">
        <f>_xlfn.IFNA(VLOOKUP(TRIM(E123),Doctor_Directory!$A$2:$D$31,2,FALSE),"No name")</f>
        <v>Dr. Folake Bamidele</v>
      </c>
      <c r="L123" t="str">
        <f>VLOOKUP(TRIM(D123),[1]Hospital_Details!$A$2:$D$16,2,FALSE)</f>
        <v>MC-ABJ-02</v>
      </c>
      <c r="M123" t="str">
        <f>VLOOKUP(I123,Bill_Tier_Reference!$A$2:$B$5,2,TRUE)</f>
        <v>Tier 3 - Premium</v>
      </c>
      <c r="N123" t="str">
        <f>VLOOKUP(F123,Age_Bracket_Reference!$A$2:$B$6,2,TRUE)</f>
        <v>Senior</v>
      </c>
      <c r="O123" t="str">
        <f>VLOOKUP(C123,State_Coordinator!$A$2:$B$6,2,FALSE)</f>
        <v>Ibrahim Garba</v>
      </c>
      <c r="P123" t="str">
        <f>VLOOKUP(L123,[2]Hospital_Details!$B$2:$D$16,3,FALSE)</f>
        <v>Silver</v>
      </c>
      <c r="Q123" t="str" cm="1">
        <f t="array" ref="Q123">_xlfn.IFS(ISNUMBER(SEARCH("TB", G123)),Protocol_Reference!$B$2, ISNUMBER(SEARCH("Malaria",G123)),Protocol_Reference!$B$3, ISNUMBER(SEARCH("Typhoid",G123)),Protocol_Reference!$B$4, ISNUMBER(SEARCH("Hypertension", G123,)),Protocol_Reference!$B$5, ISNUMBER(SEARCH("Diabetes", G123)),Protocol_Reference!$B$6, ISNUMBER(SEARCH("Cholera", G123)),Protocol_Reference!$B$7, ISNUMBER(SEARCH("Pneumonia", G123)),Protocol_Reference!$B$8, TRUE, "Out of scope/ Routine Care")</f>
        <v>Oral Rehydration Therapy + Doxycycline</v>
      </c>
      <c r="R123" s="16">
        <f>IFERROR(VLOOKUP(E123,Doctor_Directory!$A$2:$D$31,4,FALSE),"Check Doctor Code")</f>
        <v>5000</v>
      </c>
      <c r="S123" s="6" cm="1">
        <f t="array" ref="S123">_xlfn.XLOOKUP(C123,Insurance_Reimbursement_Matrix!$A$2:$A$6,_xlfn.XLOOKUP(_xlfn.XLOOKUP(F123,Age_Bracket_Reference!$A$2:$A$6,Age_Bracket_Reference!$B$2:$B$6,,-1),Insurance_Reimbursement_Matrix!$B$1:$F$1,Insurance_Reimbursement_Matrix!$B$2:$F$6))</f>
        <v>0.79</v>
      </c>
    </row>
    <row r="124" spans="1:19" x14ac:dyDescent="0.25">
      <c r="A124" s="2" t="s">
        <v>412</v>
      </c>
      <c r="B124" s="2" t="s">
        <v>413</v>
      </c>
      <c r="C124" s="2" t="s">
        <v>12</v>
      </c>
      <c r="D124" s="2" t="s">
        <v>33</v>
      </c>
      <c r="E124" s="2" t="s">
        <v>351</v>
      </c>
      <c r="F124" s="2">
        <v>8</v>
      </c>
      <c r="G124" s="2" t="s">
        <v>22</v>
      </c>
      <c r="H124" s="2" t="s">
        <v>294</v>
      </c>
      <c r="I124" s="18">
        <v>247341</v>
      </c>
      <c r="J124" s="2">
        <v>8</v>
      </c>
      <c r="K124" t="str">
        <f>_xlfn.IFNA(VLOOKUP(TRIM(E124),Doctor_Directory!$A$2:$D$31,2,FALSE),"No name")</f>
        <v>Dr. Segun Ibe</v>
      </c>
      <c r="L124" t="str">
        <f>VLOOKUP(TRIM(D124),[1]Hospital_Details!$A$2:$D$16,2,FALSE)</f>
        <v>MC-PHC-02</v>
      </c>
      <c r="M124" t="str">
        <f>VLOOKUP(I124,Bill_Tier_Reference!$A$2:$B$5,2,TRUE)</f>
        <v>Tier 4 - Elite</v>
      </c>
      <c r="N124" t="str">
        <f>VLOOKUP(F124,Age_Bracket_Reference!$A$2:$B$6,2,TRUE)</f>
        <v>Child</v>
      </c>
      <c r="O124" t="str">
        <f>VLOOKUP(C124,State_Coordinator!$A$2:$B$6,2,FALSE)</f>
        <v>Ebiere Amadi</v>
      </c>
      <c r="P124" t="str">
        <f>VLOOKUP(L124,[2]Hospital_Details!$B$2:$D$16,3,FALSE)</f>
        <v>Platinum</v>
      </c>
      <c r="Q124" t="str" cm="1">
        <f t="array" ref="Q124">_xlfn.IFS(ISNUMBER(SEARCH("TB", G124)),Protocol_Reference!$B$2, ISNUMBER(SEARCH("Malaria",G124)),Protocol_Reference!$B$3, ISNUMBER(SEARCH("Typhoid",G124)),Protocol_Reference!$B$4, ISNUMBER(SEARCH("Hypertension", G124,)),Protocol_Reference!$B$5, ISNUMBER(SEARCH("Diabetes", G124)),Protocol_Reference!$B$6, ISNUMBER(SEARCH("Cholera", G124)),Protocol_Reference!$B$7, ISNUMBER(SEARCH("Pneumonia", G124)),Protocol_Reference!$B$8, TRUE, "Out of scope/ Routine Care")</f>
        <v>Out of scope/ Routine Care</v>
      </c>
      <c r="R124" s="16">
        <f>IFERROR(VLOOKUP(E124,Doctor_Directory!$A$2:$D$31,4,FALSE),"Check Doctor Code")</f>
        <v>8500</v>
      </c>
      <c r="S124" s="6" cm="1">
        <f t="array" ref="S124">_xlfn.XLOOKUP(C124,Insurance_Reimbursement_Matrix!$A$2:$A$6,_xlfn.XLOOKUP(_xlfn.XLOOKUP(F124,Age_Bracket_Reference!$A$2:$A$6,Age_Bracket_Reference!$B$2:$B$6,,-1),Insurance_Reimbursement_Matrix!$B$1:$F$1,Insurance_Reimbursement_Matrix!$B$2:$F$6))</f>
        <v>0.82</v>
      </c>
    </row>
    <row r="125" spans="1:19" x14ac:dyDescent="0.25">
      <c r="A125" s="2" t="s">
        <v>414</v>
      </c>
      <c r="B125" s="2" t="s">
        <v>415</v>
      </c>
      <c r="C125" s="2" t="s">
        <v>19</v>
      </c>
      <c r="D125" s="2" t="s">
        <v>160</v>
      </c>
      <c r="E125" s="2" t="s">
        <v>74</v>
      </c>
      <c r="F125" s="2">
        <v>74</v>
      </c>
      <c r="G125" s="2" t="s">
        <v>290</v>
      </c>
      <c r="H125" s="2" t="s">
        <v>30</v>
      </c>
      <c r="I125" s="18">
        <v>59649</v>
      </c>
      <c r="J125" s="2">
        <v>1</v>
      </c>
      <c r="K125" t="str">
        <f>_xlfn.IFNA(VLOOKUP(TRIM(E125),Doctor_Directory!$A$2:$D$31,2,FALSE),"No name")</f>
        <v>Dr. Oluwaseun Okoye</v>
      </c>
      <c r="L125" t="str">
        <f>VLOOKUP(TRIM(D125),[1]Hospital_Details!$A$2:$D$16,2,FALSE)</f>
        <v>MC-LAG-02</v>
      </c>
      <c r="M125" t="str">
        <f>VLOOKUP(I125,Bill_Tier_Reference!$A$2:$B$5,2,TRUE)</f>
        <v>Tier 2 - Standard</v>
      </c>
      <c r="N125" t="str">
        <f>VLOOKUP(F125,Age_Bracket_Reference!$A$2:$B$6,2,TRUE)</f>
        <v>Senior</v>
      </c>
      <c r="O125" t="str">
        <f>VLOOKUP(C125,State_Coordinator!$A$2:$B$6,2,FALSE)</f>
        <v>Funmilayo Adebayo</v>
      </c>
      <c r="P125" t="str">
        <f>VLOOKUP(L125,[2]Hospital_Details!$B$2:$D$16,3,FALSE)</f>
        <v>Bronze</v>
      </c>
      <c r="Q125" t="str" cm="1">
        <f t="array" ref="Q125">_xlfn.IFS(ISNUMBER(SEARCH("TB", G125)),Protocol_Reference!$B$2, ISNUMBER(SEARCH("Malaria",G125)),Protocol_Reference!$B$3, ISNUMBER(SEARCH("Typhoid",G125)),Protocol_Reference!$B$4, ISNUMBER(SEARCH("Hypertension", G125,)),Protocol_Reference!$B$5, ISNUMBER(SEARCH("Diabetes", G125)),Protocol_Reference!$B$6, ISNUMBER(SEARCH("Cholera", G125)),Protocol_Reference!$B$7, ISNUMBER(SEARCH("Pneumonia", G125)),Protocol_Reference!$B$8, TRUE, "Out of scope/ Routine Care")</f>
        <v>Directly Observed Treatment Short-course (DOTS) - 6 month regimen</v>
      </c>
      <c r="R125" s="16">
        <f>IFERROR(VLOOKUP(E125,Doctor_Directory!$A$2:$D$31,4,FALSE),"Check Doctor Code")</f>
        <v>8500</v>
      </c>
      <c r="S125" s="6" cm="1">
        <f t="array" ref="S125">_xlfn.XLOOKUP(C125,Insurance_Reimbursement_Matrix!$A$2:$A$6,_xlfn.XLOOKUP(_xlfn.XLOOKUP(F125,Age_Bracket_Reference!$A$2:$A$6,Age_Bracket_Reference!$B$2:$B$6,,-1),Insurance_Reimbursement_Matrix!$B$1:$F$1,Insurance_Reimbursement_Matrix!$B$2:$F$6))</f>
        <v>0.8</v>
      </c>
    </row>
    <row r="126" spans="1:19" x14ac:dyDescent="0.25">
      <c r="A126" s="2" t="s">
        <v>416</v>
      </c>
      <c r="B126" s="2" t="s">
        <v>315</v>
      </c>
      <c r="C126" s="2" t="s">
        <v>26</v>
      </c>
      <c r="D126" s="2" t="s">
        <v>27</v>
      </c>
      <c r="E126" s="2" t="s">
        <v>80</v>
      </c>
      <c r="F126" s="2">
        <v>65</v>
      </c>
      <c r="G126" s="2" t="s">
        <v>290</v>
      </c>
      <c r="H126" s="2" t="s">
        <v>71</v>
      </c>
      <c r="I126" s="18">
        <v>429511</v>
      </c>
      <c r="J126" s="2">
        <v>9</v>
      </c>
      <c r="K126" t="str">
        <f>_xlfn.IFNA(VLOOKUP(TRIM(E126),Doctor_Directory!$A$2:$D$31,2,FALSE),"No name")</f>
        <v>Dr. Folake Bamidele</v>
      </c>
      <c r="L126" t="str">
        <f>VLOOKUP(TRIM(D126),[1]Hospital_Details!$A$2:$D$16,2,FALSE)</f>
        <v>MC-KAN-03</v>
      </c>
      <c r="M126" t="str">
        <f>VLOOKUP(I126,Bill_Tier_Reference!$A$2:$B$5,2,TRUE)</f>
        <v>Tier 4 - Elite</v>
      </c>
      <c r="N126" t="str">
        <f>VLOOKUP(F126,Age_Bracket_Reference!$A$2:$B$6,2,TRUE)</f>
        <v>Senior</v>
      </c>
      <c r="O126" t="str">
        <f>VLOOKUP(C126,State_Coordinator!$A$2:$B$6,2,FALSE)</f>
        <v>Hauwa Mustapha</v>
      </c>
      <c r="P126" t="str">
        <f>VLOOKUP(L126,[2]Hospital_Details!$B$2:$D$16,3,FALSE)</f>
        <v>Platinum</v>
      </c>
      <c r="Q126" t="str" cm="1">
        <f t="array" ref="Q126">_xlfn.IFS(ISNUMBER(SEARCH("TB", G126)),Protocol_Reference!$B$2, ISNUMBER(SEARCH("Malaria",G126)),Protocol_Reference!$B$3, ISNUMBER(SEARCH("Typhoid",G126)),Protocol_Reference!$B$4, ISNUMBER(SEARCH("Hypertension", G126,)),Protocol_Reference!$B$5, ISNUMBER(SEARCH("Diabetes", G126)),Protocol_Reference!$B$6, ISNUMBER(SEARCH("Cholera", G126)),Protocol_Reference!$B$7, ISNUMBER(SEARCH("Pneumonia", G126)),Protocol_Reference!$B$8, TRUE, "Out of scope/ Routine Care")</f>
        <v>Directly Observed Treatment Short-course (DOTS) - 6 month regimen</v>
      </c>
      <c r="R126" s="16">
        <f>IFERROR(VLOOKUP(E126,Doctor_Directory!$A$2:$D$31,4,FALSE),"Check Doctor Code")</f>
        <v>5000</v>
      </c>
      <c r="S126" s="6" cm="1">
        <f t="array" ref="S126">_xlfn.XLOOKUP(C126,Insurance_Reimbursement_Matrix!$A$2:$A$6,_xlfn.XLOOKUP(_xlfn.XLOOKUP(F126,Age_Bracket_Reference!$A$2:$A$6,Age_Bracket_Reference!$B$2:$B$6,,-1),Insurance_Reimbursement_Matrix!$B$1:$F$1,Insurance_Reimbursement_Matrix!$B$2:$F$6))</f>
        <v>0.76</v>
      </c>
    </row>
    <row r="127" spans="1:19" x14ac:dyDescent="0.25">
      <c r="A127" s="2" t="s">
        <v>417</v>
      </c>
      <c r="B127" s="2" t="s">
        <v>418</v>
      </c>
      <c r="C127" s="2" t="s">
        <v>44</v>
      </c>
      <c r="D127" s="2" t="s">
        <v>138</v>
      </c>
      <c r="E127" s="2" t="s">
        <v>324</v>
      </c>
      <c r="F127" s="2">
        <v>37</v>
      </c>
      <c r="G127" s="2" t="s">
        <v>47</v>
      </c>
      <c r="H127" s="2" t="s">
        <v>99</v>
      </c>
      <c r="I127" s="18">
        <v>153366</v>
      </c>
      <c r="J127" s="2">
        <v>2</v>
      </c>
      <c r="K127" t="str">
        <f>_xlfn.IFNA(VLOOKUP(TRIM(E127),Doctor_Directory!$A$2:$D$31,2,FALSE),"No name")</f>
        <v>Dr. Ifeoma Ibe</v>
      </c>
      <c r="L127" t="str">
        <f>VLOOKUP(TRIM(D127),[1]Hospital_Details!$A$2:$D$16,2,FALSE)</f>
        <v>MC-ABJ-02</v>
      </c>
      <c r="M127" t="str">
        <f>VLOOKUP(I127,Bill_Tier_Reference!$A$2:$B$5,2,TRUE)</f>
        <v>Tier 3 - Premium</v>
      </c>
      <c r="N127" t="str">
        <f>VLOOKUP(F127,Age_Bracket_Reference!$A$2:$B$6,2,TRUE)</f>
        <v>Adult</v>
      </c>
      <c r="O127" t="str">
        <f>VLOOKUP(C127,State_Coordinator!$A$2:$B$6,2,FALSE)</f>
        <v>Ibrahim Garba</v>
      </c>
      <c r="P127" t="str">
        <f>VLOOKUP(L127,[2]Hospital_Details!$B$2:$D$16,3,FALSE)</f>
        <v>Silver</v>
      </c>
      <c r="Q127" t="str" cm="1">
        <f t="array" ref="Q127">_xlfn.IFS(ISNUMBER(SEARCH("TB", G127)),Protocol_Reference!$B$2, ISNUMBER(SEARCH("Malaria",G127)),Protocol_Reference!$B$3, ISNUMBER(SEARCH("Typhoid",G127)),Protocol_Reference!$B$4, ISNUMBER(SEARCH("Hypertension", G127,)),Protocol_Reference!$B$5, ISNUMBER(SEARCH("Diabetes", G127)),Protocol_Reference!$B$6, ISNUMBER(SEARCH("Cholera", G127)),Protocol_Reference!$B$7, ISNUMBER(SEARCH("Pneumonia", G127)),Protocol_Reference!$B$8, TRUE, "Out of scope/ Routine Care")</f>
        <v>Metformin 500mg twice daily + dietary counselling</v>
      </c>
      <c r="R127" s="16">
        <f>IFERROR(VLOOKUP(E127,Doctor_Directory!$A$2:$D$31,4,FALSE),"Check Doctor Code")</f>
        <v>4000</v>
      </c>
      <c r="S127" s="6" cm="1">
        <f t="array" ref="S127">_xlfn.XLOOKUP(C127,Insurance_Reimbursement_Matrix!$A$2:$A$6,_xlfn.XLOOKUP(_xlfn.XLOOKUP(F127,Age_Bracket_Reference!$A$2:$A$6,Age_Bracket_Reference!$B$2:$B$6,,-1),Insurance_Reimbursement_Matrix!$B$1:$F$1,Insurance_Reimbursement_Matrix!$B$2:$F$6))</f>
        <v>0.65</v>
      </c>
    </row>
    <row r="128" spans="1:19" x14ac:dyDescent="0.25">
      <c r="A128" s="2" t="s">
        <v>419</v>
      </c>
      <c r="B128" s="2" t="s">
        <v>420</v>
      </c>
      <c r="C128" s="2" t="s">
        <v>37</v>
      </c>
      <c r="D128" s="2" t="s">
        <v>38</v>
      </c>
      <c r="E128" s="2" t="s">
        <v>21</v>
      </c>
      <c r="F128" s="2">
        <v>37</v>
      </c>
      <c r="G128" s="2" t="s">
        <v>15</v>
      </c>
      <c r="H128" s="2" t="s">
        <v>336</v>
      </c>
      <c r="I128" s="18">
        <v>85682</v>
      </c>
      <c r="J128" s="2">
        <v>5</v>
      </c>
      <c r="K128" t="str">
        <f>_xlfn.IFNA(VLOOKUP(TRIM(E128),Doctor_Directory!$A$2:$D$31,2,FALSE),"No name")</f>
        <v>Dr. Amaka Nwosu</v>
      </c>
      <c r="L128" t="str">
        <f>VLOOKUP(TRIM(D128),[1]Hospital_Details!$A$2:$D$16,2,FALSE)</f>
        <v>MC-ENU-03</v>
      </c>
      <c r="M128" t="str">
        <f>VLOOKUP(I128,Bill_Tier_Reference!$A$2:$B$5,2,TRUE)</f>
        <v>Tier 3 - Premium</v>
      </c>
      <c r="N128" t="str">
        <f>VLOOKUP(F128,Age_Bracket_Reference!$A$2:$B$6,2,TRUE)</f>
        <v>Adult</v>
      </c>
      <c r="O128" t="str">
        <f>VLOOKUP(C128,State_Coordinator!$A$2:$B$6,2,FALSE)</f>
        <v>Chidiebere Okoro</v>
      </c>
      <c r="P128" t="str">
        <f>VLOOKUP(L128,[2]Hospital_Details!$B$2:$D$16,3,FALSE)</f>
        <v>Gold</v>
      </c>
      <c r="Q128" t="str" cm="1">
        <f t="array" ref="Q128">_xlfn.IFS(ISNUMBER(SEARCH("TB", G128)),Protocol_Reference!$B$2, ISNUMBER(SEARCH("Malaria",G128)),Protocol_Reference!$B$3, ISNUMBER(SEARCH("Typhoid",G128)),Protocol_Reference!$B$4, ISNUMBER(SEARCH("Hypertension", G128,)),Protocol_Reference!$B$5, ISNUMBER(SEARCH("Diabetes", G128)),Protocol_Reference!$B$6, ISNUMBER(SEARCH("Cholera", G128)),Protocol_Reference!$B$7, ISNUMBER(SEARCH("Pneumonia", G128)),Protocol_Reference!$B$8, TRUE, "Out of scope/ Routine Care")</f>
        <v>Ciprofloxacin 500mg twice daily for 7-10 days</v>
      </c>
      <c r="R128" s="16">
        <f>IFERROR(VLOOKUP(E128,Doctor_Directory!$A$2:$D$31,4,FALSE),"Check Doctor Code")</f>
        <v>5500</v>
      </c>
      <c r="S128" s="6" cm="1">
        <f t="array" ref="S128">_xlfn.XLOOKUP(C128,Insurance_Reimbursement_Matrix!$A$2:$A$6,_xlfn.XLOOKUP(_xlfn.XLOOKUP(F128,Age_Bracket_Reference!$A$2:$A$6,Age_Bracket_Reference!$B$2:$B$6,,-1),Insurance_Reimbursement_Matrix!$B$1:$F$1,Insurance_Reimbursement_Matrix!$B$2:$F$6))</f>
        <v>0.68</v>
      </c>
    </row>
    <row r="129" spans="1:19" x14ac:dyDescent="0.25">
      <c r="A129" s="2" t="s">
        <v>421</v>
      </c>
      <c r="B129" s="2" t="s">
        <v>422</v>
      </c>
      <c r="C129" s="2" t="s">
        <v>44</v>
      </c>
      <c r="D129" s="2" t="s">
        <v>186</v>
      </c>
      <c r="E129" s="2" t="s">
        <v>195</v>
      </c>
      <c r="F129" s="2">
        <v>11</v>
      </c>
      <c r="G129" s="2" t="s">
        <v>253</v>
      </c>
      <c r="H129" s="2" t="s">
        <v>54</v>
      </c>
      <c r="I129" s="18">
        <v>62171</v>
      </c>
      <c r="J129" s="2">
        <v>11</v>
      </c>
      <c r="K129" t="str">
        <f>_xlfn.IFNA(VLOOKUP(TRIM(E129),Doctor_Directory!$A$2:$D$31,2,FALSE),"No name")</f>
        <v>Dr. Oluwaseun Ogunleye</v>
      </c>
      <c r="L129" t="str">
        <f>VLOOKUP(TRIM(D129),[1]Hospital_Details!$A$2:$D$16,2,FALSE)</f>
        <v>MC-ABJ-03</v>
      </c>
      <c r="M129" t="str">
        <f>VLOOKUP(I129,Bill_Tier_Reference!$A$2:$B$5,2,TRUE)</f>
        <v>Tier 2 - Standard</v>
      </c>
      <c r="N129" t="str">
        <f>VLOOKUP(F129,Age_Bracket_Reference!$A$2:$B$6,2,TRUE)</f>
        <v>Child</v>
      </c>
      <c r="O129" t="str">
        <f>VLOOKUP(C129,State_Coordinator!$A$2:$B$6,2,FALSE)</f>
        <v>Ibrahim Garba</v>
      </c>
      <c r="P129" t="str">
        <f>VLOOKUP(L129,[2]Hospital_Details!$B$2:$D$16,3,FALSE)</f>
        <v>Silver</v>
      </c>
      <c r="Q129" t="str" cm="1">
        <f t="array" ref="Q129">_xlfn.IFS(ISNUMBER(SEARCH("TB", G129)),Protocol_Reference!$B$2, ISNUMBER(SEARCH("Malaria",G129)),Protocol_Reference!$B$3, ISNUMBER(SEARCH("Typhoid",G129)),Protocol_Reference!$B$4, ISNUMBER(SEARCH("Hypertension", G129,)),Protocol_Reference!$B$5, ISNUMBER(SEARCH("Diabetes", G129)),Protocol_Reference!$B$6, ISNUMBER(SEARCH("Cholera", G129)),Protocol_Reference!$B$7, ISNUMBER(SEARCH("Pneumonia", G129)),Protocol_Reference!$B$8, TRUE, "Out of scope/ Routine Care")</f>
        <v>Artemisinin-based Combination Therapy (ACT) - 3-day course</v>
      </c>
      <c r="R129" s="16">
        <f>IFERROR(VLOOKUP(E129,Doctor_Directory!$A$2:$D$31,4,FALSE),"Check Doctor Code")</f>
        <v>4500</v>
      </c>
      <c r="S129" s="6" cm="1">
        <f t="array" ref="S129">_xlfn.XLOOKUP(C129,Insurance_Reimbursement_Matrix!$A$2:$A$6,_xlfn.XLOOKUP(_xlfn.XLOOKUP(F129,Age_Bracket_Reference!$A$2:$A$6,Age_Bracket_Reference!$B$2:$B$6,,-1),Insurance_Reimbursement_Matrix!$B$1:$F$1,Insurance_Reimbursement_Matrix!$B$2:$F$6))</f>
        <v>0.84</v>
      </c>
    </row>
    <row r="130" spans="1:19" x14ac:dyDescent="0.25">
      <c r="A130" s="2" t="s">
        <v>423</v>
      </c>
      <c r="B130" s="2" t="s">
        <v>424</v>
      </c>
      <c r="C130" s="2" t="s">
        <v>19</v>
      </c>
      <c r="D130" s="2" t="s">
        <v>102</v>
      </c>
      <c r="E130" s="2" t="s">
        <v>180</v>
      </c>
      <c r="F130" s="2">
        <v>55</v>
      </c>
      <c r="G130" s="2" t="s">
        <v>70</v>
      </c>
      <c r="H130" s="2" t="s">
        <v>425</v>
      </c>
      <c r="I130" s="18">
        <v>43763</v>
      </c>
      <c r="J130" s="2">
        <v>6</v>
      </c>
      <c r="K130" t="str">
        <f>_xlfn.IFNA(VLOOKUP(TRIM(E130),Doctor_Directory!$A$2:$D$31,2,FALSE),"No name")</f>
        <v>Dr. Maryam Eneh</v>
      </c>
      <c r="L130" t="str">
        <f>VLOOKUP(TRIM(D130),[1]Hospital_Details!$A$2:$D$16,2,FALSE)</f>
        <v>MC-LAG-03</v>
      </c>
      <c r="M130" t="str">
        <f>VLOOKUP(I130,Bill_Tier_Reference!$A$2:$B$5,2,TRUE)</f>
        <v>Tier 2 - Standard</v>
      </c>
      <c r="N130" t="str">
        <f>VLOOKUP(F130,Age_Bracket_Reference!$A$2:$B$6,2,TRUE)</f>
        <v>Adult</v>
      </c>
      <c r="O130" t="str">
        <f>VLOOKUP(C130,State_Coordinator!$A$2:$B$6,2,FALSE)</f>
        <v>Funmilayo Adebayo</v>
      </c>
      <c r="P130" t="str">
        <f>VLOOKUP(L130,[2]Hospital_Details!$B$2:$D$16,3,FALSE)</f>
        <v>Bronze</v>
      </c>
      <c r="Q130" t="str" cm="1">
        <f t="array" ref="Q130">_xlfn.IFS(ISNUMBER(SEARCH("TB", G130)),Protocol_Reference!$B$2, ISNUMBER(SEARCH("Malaria",G130)),Protocol_Reference!$B$3, ISNUMBER(SEARCH("Typhoid",G130)),Protocol_Reference!$B$4, ISNUMBER(SEARCH("Hypertension", G130,)),Protocol_Reference!$B$5, ISNUMBER(SEARCH("Diabetes", G130)),Protocol_Reference!$B$6, ISNUMBER(SEARCH("Cholera", G130)),Protocol_Reference!$B$7, ISNUMBER(SEARCH("Pneumonia", G130)),Protocol_Reference!$B$8, TRUE, "Out of scope/ Routine Care")</f>
        <v>Amoxicillin-Clavulanate 625mg three times daily for 7 days</v>
      </c>
      <c r="R130" s="16">
        <f>IFERROR(VLOOKUP(E130,Doctor_Directory!$A$2:$D$31,4,FALSE),"Check Doctor Code")</f>
        <v>10000</v>
      </c>
      <c r="S130" s="6" cm="1">
        <f t="array" ref="S130">_xlfn.XLOOKUP(C130,Insurance_Reimbursement_Matrix!$A$2:$A$6,_xlfn.XLOOKUP(_xlfn.XLOOKUP(F130,Age_Bracket_Reference!$A$2:$A$6,Age_Bracket_Reference!$B$2:$B$6,,-1),Insurance_Reimbursement_Matrix!$B$1:$F$1,Insurance_Reimbursement_Matrix!$B$2:$F$6))</f>
        <v>0.66</v>
      </c>
    </row>
    <row r="131" spans="1:19" x14ac:dyDescent="0.25">
      <c r="A131" s="2" t="s">
        <v>426</v>
      </c>
      <c r="B131" s="2" t="s">
        <v>427</v>
      </c>
      <c r="C131" s="2" t="s">
        <v>44</v>
      </c>
      <c r="D131" s="2" t="s">
        <v>45</v>
      </c>
      <c r="E131" s="2" t="s">
        <v>52</v>
      </c>
      <c r="F131" s="2">
        <v>20</v>
      </c>
      <c r="G131" s="2" t="s">
        <v>81</v>
      </c>
      <c r="H131" s="2" t="s">
        <v>339</v>
      </c>
      <c r="I131" s="18">
        <v>6314</v>
      </c>
      <c r="J131" s="2">
        <v>11</v>
      </c>
      <c r="K131" t="str">
        <f>_xlfn.IFNA(VLOOKUP(TRIM(E131),Doctor_Directory!$A$2:$D$31,2,FALSE),"No name")</f>
        <v>No name</v>
      </c>
      <c r="L131" t="str">
        <f>VLOOKUP(TRIM(D131),[1]Hospital_Details!$A$2:$D$16,2,FALSE)</f>
        <v>MC-ABJ-01</v>
      </c>
      <c r="M131" t="str">
        <f>VLOOKUP(I131,Bill_Tier_Reference!$A$2:$B$5,2,TRUE)</f>
        <v>Tier 1 - Basic</v>
      </c>
      <c r="N131" t="str">
        <f>VLOOKUP(F131,Age_Bracket_Reference!$A$2:$B$6,2,TRUE)</f>
        <v>Young Adult</v>
      </c>
      <c r="O131" t="str">
        <f>VLOOKUP(C131,State_Coordinator!$A$2:$B$6,2,FALSE)</f>
        <v>Ibrahim Garba</v>
      </c>
      <c r="P131" t="str">
        <f>VLOOKUP(L131,[2]Hospital_Details!$B$2:$D$16,3,FALSE)</f>
        <v>Platinum</v>
      </c>
      <c r="Q131" t="str" cm="1">
        <f t="array" ref="Q131">_xlfn.IFS(ISNUMBER(SEARCH("TB", G131)),Protocol_Reference!$B$2, ISNUMBER(SEARCH("Malaria",G131)),Protocol_Reference!$B$3, ISNUMBER(SEARCH("Typhoid",G131)),Protocol_Reference!$B$4, ISNUMBER(SEARCH("Hypertension", G131,)),Protocol_Reference!$B$5, ISNUMBER(SEARCH("Diabetes", G131)),Protocol_Reference!$B$6, ISNUMBER(SEARCH("Cholera", G131)),Protocol_Reference!$B$7, ISNUMBER(SEARCH("Pneumonia", G131)),Protocol_Reference!$B$8, TRUE, "Out of scope/ Routine Care")</f>
        <v>Directly Observed Treatment Short-course (DOTS) - 6 month regimen</v>
      </c>
      <c r="R131" s="16" t="str">
        <f>IFERROR(VLOOKUP(E131,Doctor_Directory!$A$2:$D$31,4,FALSE),"Check Doctor Code")</f>
        <v>Check Doctor Code</v>
      </c>
      <c r="S131" s="6" cm="1">
        <f t="array" ref="S131">_xlfn.XLOOKUP(C131,Insurance_Reimbursement_Matrix!$A$2:$A$6,_xlfn.XLOOKUP(_xlfn.XLOOKUP(F131,Age_Bracket_Reference!$A$2:$A$6,Age_Bracket_Reference!$B$2:$B$6,,-1),Insurance_Reimbursement_Matrix!$B$1:$F$1,Insurance_Reimbursement_Matrix!$B$2:$F$6))</f>
        <v>0.65</v>
      </c>
    </row>
    <row r="132" spans="1:19" x14ac:dyDescent="0.25">
      <c r="A132" s="2" t="s">
        <v>428</v>
      </c>
      <c r="B132" s="2" t="s">
        <v>429</v>
      </c>
      <c r="C132" s="2" t="s">
        <v>44</v>
      </c>
      <c r="D132" s="2" t="s">
        <v>186</v>
      </c>
      <c r="E132" s="2" t="s">
        <v>21</v>
      </c>
      <c r="F132" s="2">
        <v>20</v>
      </c>
      <c r="G132" s="2" t="s">
        <v>329</v>
      </c>
      <c r="H132" s="2" t="s">
        <v>430</v>
      </c>
      <c r="I132" s="18">
        <v>222907</v>
      </c>
      <c r="J132" s="2">
        <v>6</v>
      </c>
      <c r="K132" t="str">
        <f>_xlfn.IFNA(VLOOKUP(TRIM(E132),Doctor_Directory!$A$2:$D$31,2,FALSE),"No name")</f>
        <v>Dr. Amaka Nwosu</v>
      </c>
      <c r="L132" t="str">
        <f>VLOOKUP(TRIM(D132),[1]Hospital_Details!$A$2:$D$16,2,FALSE)</f>
        <v>MC-ABJ-03</v>
      </c>
      <c r="M132" t="str">
        <f>VLOOKUP(I132,Bill_Tier_Reference!$A$2:$B$5,2,TRUE)</f>
        <v>Tier 4 - Elite</v>
      </c>
      <c r="N132" t="str">
        <f>VLOOKUP(F132,Age_Bracket_Reference!$A$2:$B$6,2,TRUE)</f>
        <v>Young Adult</v>
      </c>
      <c r="O132" t="str">
        <f>VLOOKUP(C132,State_Coordinator!$A$2:$B$6,2,FALSE)</f>
        <v>Ibrahim Garba</v>
      </c>
      <c r="P132" t="str">
        <f>VLOOKUP(L132,[2]Hospital_Details!$B$2:$D$16,3,FALSE)</f>
        <v>Silver</v>
      </c>
      <c r="Q132" t="str" cm="1">
        <f t="array" ref="Q132">_xlfn.IFS(ISNUMBER(SEARCH("TB", G132)),Protocol_Reference!$B$2, ISNUMBER(SEARCH("Malaria",G132)),Protocol_Reference!$B$3, ISNUMBER(SEARCH("Typhoid",G132)),Protocol_Reference!$B$4, ISNUMBER(SEARCH("Hypertension", G132,)),Protocol_Reference!$B$5, ISNUMBER(SEARCH("Diabetes", G132)),Protocol_Reference!$B$6, ISNUMBER(SEARCH("Cholera", G132)),Protocol_Reference!$B$7, ISNUMBER(SEARCH("Pneumonia", G132)),Protocol_Reference!$B$8, TRUE, "Out of scope/ Routine Care")</f>
        <v>Artemisinin-based Combination Therapy (ACT) - 3-day course</v>
      </c>
      <c r="R132" s="16">
        <f>IFERROR(VLOOKUP(E132,Doctor_Directory!$A$2:$D$31,4,FALSE),"Check Doctor Code")</f>
        <v>5500</v>
      </c>
      <c r="S132" s="6" cm="1">
        <f t="array" ref="S132">_xlfn.XLOOKUP(C132,Insurance_Reimbursement_Matrix!$A$2:$A$6,_xlfn.XLOOKUP(_xlfn.XLOOKUP(F132,Age_Bracket_Reference!$A$2:$A$6,Age_Bracket_Reference!$B$2:$B$6,,-1),Insurance_Reimbursement_Matrix!$B$1:$F$1,Insurance_Reimbursement_Matrix!$B$2:$F$6))</f>
        <v>0.65</v>
      </c>
    </row>
    <row r="133" spans="1:19" x14ac:dyDescent="0.25">
      <c r="A133" s="2" t="s">
        <v>431</v>
      </c>
      <c r="B133" s="2" t="s">
        <v>159</v>
      </c>
      <c r="C133" s="2" t="s">
        <v>12</v>
      </c>
      <c r="D133" s="2" t="s">
        <v>217</v>
      </c>
      <c r="E133" s="2" t="s">
        <v>116</v>
      </c>
      <c r="F133" s="2">
        <v>58</v>
      </c>
      <c r="G133" s="2" t="s">
        <v>240</v>
      </c>
      <c r="H133" s="2" t="s">
        <v>82</v>
      </c>
      <c r="I133" s="18">
        <v>40281</v>
      </c>
      <c r="J133" s="2">
        <v>6</v>
      </c>
      <c r="K133" t="str">
        <f>_xlfn.IFNA(VLOOKUP(TRIM(E133),Doctor_Directory!$A$2:$D$31,2,FALSE),"No name")</f>
        <v>Dr. Tunde Usman</v>
      </c>
      <c r="L133" t="str">
        <f>VLOOKUP(TRIM(D133),[1]Hospital_Details!$A$2:$D$16,2,FALSE)</f>
        <v>MC-PHC-03</v>
      </c>
      <c r="M133" t="str">
        <f>VLOOKUP(I133,Bill_Tier_Reference!$A$2:$B$5,2,TRUE)</f>
        <v>Tier 2 - Standard</v>
      </c>
      <c r="N133" t="str">
        <f>VLOOKUP(F133,Age_Bracket_Reference!$A$2:$B$6,2,TRUE)</f>
        <v>Adult</v>
      </c>
      <c r="O133" t="str">
        <f>VLOOKUP(C133,State_Coordinator!$A$2:$B$6,2,FALSE)</f>
        <v>Ebiere Amadi</v>
      </c>
      <c r="P133" t="str">
        <f>VLOOKUP(L133,[2]Hospital_Details!$B$2:$D$16,3,FALSE)</f>
        <v>Platinum</v>
      </c>
      <c r="Q133" t="str" cm="1">
        <f t="array" ref="Q133">_xlfn.IFS(ISNUMBER(SEARCH("TB", G133)),Protocol_Reference!$B$2, ISNUMBER(SEARCH("Malaria",G133)),Protocol_Reference!$B$3, ISNUMBER(SEARCH("Typhoid",G133)),Protocol_Reference!$B$4, ISNUMBER(SEARCH("Hypertension", G133,)),Protocol_Reference!$B$5, ISNUMBER(SEARCH("Diabetes", G133)),Protocol_Reference!$B$6, ISNUMBER(SEARCH("Cholera", G133)),Protocol_Reference!$B$7, ISNUMBER(SEARCH("Pneumonia", G133)),Protocol_Reference!$B$8, TRUE, "Out of scope/ Routine Care")</f>
        <v>Artemisinin-based Combination Therapy (ACT) - 3-day course</v>
      </c>
      <c r="R133" s="16">
        <f>IFERROR(VLOOKUP(E133,Doctor_Directory!$A$2:$D$31,4,FALSE),"Check Doctor Code")</f>
        <v>10000</v>
      </c>
      <c r="S133" s="6" cm="1">
        <f t="array" ref="S133">_xlfn.XLOOKUP(C133,Insurance_Reimbursement_Matrix!$A$2:$A$6,_xlfn.XLOOKUP(_xlfn.XLOOKUP(F133,Age_Bracket_Reference!$A$2:$A$6,Age_Bracket_Reference!$B$2:$B$6,,-1),Insurance_Reimbursement_Matrix!$B$1:$F$1,Insurance_Reimbursement_Matrix!$B$2:$F$6))</f>
        <v>0.71</v>
      </c>
    </row>
    <row r="134" spans="1:19" x14ac:dyDescent="0.25">
      <c r="A134" s="2" t="s">
        <v>432</v>
      </c>
      <c r="B134" s="2" t="s">
        <v>433</v>
      </c>
      <c r="C134" s="2" t="s">
        <v>12</v>
      </c>
      <c r="D134" s="2" t="s">
        <v>33</v>
      </c>
      <c r="E134" s="2" t="s">
        <v>58</v>
      </c>
      <c r="F134" s="2">
        <v>37</v>
      </c>
      <c r="G134" s="2" t="s">
        <v>85</v>
      </c>
      <c r="H134" s="2" t="s">
        <v>41</v>
      </c>
      <c r="I134" s="18">
        <v>54567</v>
      </c>
      <c r="J134" s="2">
        <v>13</v>
      </c>
      <c r="K134" t="str">
        <f>_xlfn.IFNA(VLOOKUP(TRIM(E134),Doctor_Directory!$A$2:$D$31,2,FALSE),"No name")</f>
        <v>Dr. Damilola Chidozie</v>
      </c>
      <c r="L134" t="str">
        <f>VLOOKUP(TRIM(D134),[1]Hospital_Details!$A$2:$D$16,2,FALSE)</f>
        <v>MC-PHC-02</v>
      </c>
      <c r="M134" t="str">
        <f>VLOOKUP(I134,Bill_Tier_Reference!$A$2:$B$5,2,TRUE)</f>
        <v>Tier 2 - Standard</v>
      </c>
      <c r="N134" t="str">
        <f>VLOOKUP(F134,Age_Bracket_Reference!$A$2:$B$6,2,TRUE)</f>
        <v>Adult</v>
      </c>
      <c r="O134" t="str">
        <f>VLOOKUP(C134,State_Coordinator!$A$2:$B$6,2,FALSE)</f>
        <v>Ebiere Amadi</v>
      </c>
      <c r="P134" t="str">
        <f>VLOOKUP(L134,[2]Hospital_Details!$B$2:$D$16,3,FALSE)</f>
        <v>Platinum</v>
      </c>
      <c r="Q134" t="str" cm="1">
        <f t="array" ref="Q134">_xlfn.IFS(ISNUMBER(SEARCH("TB", G134)),Protocol_Reference!$B$2, ISNUMBER(SEARCH("Malaria",G134)),Protocol_Reference!$B$3, ISNUMBER(SEARCH("Typhoid",G134)),Protocol_Reference!$B$4, ISNUMBER(SEARCH("Hypertension", G134,)),Protocol_Reference!$B$5, ISNUMBER(SEARCH("Diabetes", G134)),Protocol_Reference!$B$6, ISNUMBER(SEARCH("Cholera", G134)),Protocol_Reference!$B$7, ISNUMBER(SEARCH("Pneumonia", G134)),Protocol_Reference!$B$8, TRUE, "Out of scope/ Routine Care")</f>
        <v>Artemisinin-based Combination Therapy (ACT) - 3-day course</v>
      </c>
      <c r="R134" s="16">
        <f>IFERROR(VLOOKUP(E134,Doctor_Directory!$A$2:$D$31,4,FALSE),"Check Doctor Code")</f>
        <v>6000</v>
      </c>
      <c r="S134" s="6" cm="1">
        <f t="array" ref="S134">_xlfn.XLOOKUP(C134,Insurance_Reimbursement_Matrix!$A$2:$A$6,_xlfn.XLOOKUP(_xlfn.XLOOKUP(F134,Age_Bracket_Reference!$A$2:$A$6,Age_Bracket_Reference!$B$2:$B$6,,-1),Insurance_Reimbursement_Matrix!$B$1:$F$1,Insurance_Reimbursement_Matrix!$B$2:$F$6))</f>
        <v>0.71</v>
      </c>
    </row>
    <row r="135" spans="1:19" x14ac:dyDescent="0.25">
      <c r="A135" s="2" t="s">
        <v>434</v>
      </c>
      <c r="B135" s="2" t="s">
        <v>435</v>
      </c>
      <c r="C135" s="2" t="s">
        <v>26</v>
      </c>
      <c r="D135" s="2" t="s">
        <v>150</v>
      </c>
      <c r="E135" s="2" t="s">
        <v>103</v>
      </c>
      <c r="F135" s="2">
        <v>62</v>
      </c>
      <c r="G135" s="2" t="s">
        <v>22</v>
      </c>
      <c r="H135" s="2" t="s">
        <v>143</v>
      </c>
      <c r="I135" s="18">
        <v>6361</v>
      </c>
      <c r="J135" s="2">
        <v>5</v>
      </c>
      <c r="K135" t="str">
        <f>_xlfn.IFNA(VLOOKUP(TRIM(E135),Doctor_Directory!$A$2:$D$31,2,FALSE),"No name")</f>
        <v>Dr. Segun Ogundele</v>
      </c>
      <c r="L135" t="str">
        <f>VLOOKUP(TRIM(D135),[1]Hospital_Details!$A$2:$D$16,2,FALSE)</f>
        <v>MC-KAN-01</v>
      </c>
      <c r="M135" t="str">
        <f>VLOOKUP(I135,Bill_Tier_Reference!$A$2:$B$5,2,TRUE)</f>
        <v>Tier 1 - Basic</v>
      </c>
      <c r="N135" t="str">
        <f>VLOOKUP(F135,Age_Bracket_Reference!$A$2:$B$6,2,TRUE)</f>
        <v>Senior</v>
      </c>
      <c r="O135" t="str">
        <f>VLOOKUP(C135,State_Coordinator!$A$2:$B$6,2,FALSE)</f>
        <v>Hauwa Mustapha</v>
      </c>
      <c r="P135" t="str">
        <f>VLOOKUP(L135,[2]Hospital_Details!$B$2:$D$16,3,FALSE)</f>
        <v>Silver</v>
      </c>
      <c r="Q135" t="str" cm="1">
        <f t="array" ref="Q135">_xlfn.IFS(ISNUMBER(SEARCH("TB", G135)),Protocol_Reference!$B$2, ISNUMBER(SEARCH("Malaria",G135)),Protocol_Reference!$B$3, ISNUMBER(SEARCH("Typhoid",G135)),Protocol_Reference!$B$4, ISNUMBER(SEARCH("Hypertension", G135,)),Protocol_Reference!$B$5, ISNUMBER(SEARCH("Diabetes", G135)),Protocol_Reference!$B$6, ISNUMBER(SEARCH("Cholera", G135)),Protocol_Reference!$B$7, ISNUMBER(SEARCH("Pneumonia", G135)),Protocol_Reference!$B$8, TRUE, "Out of scope/ Routine Care")</f>
        <v>Out of scope/ Routine Care</v>
      </c>
      <c r="R135" s="16">
        <f>IFERROR(VLOOKUP(E135,Doctor_Directory!$A$2:$D$31,4,FALSE),"Check Doctor Code")</f>
        <v>5000</v>
      </c>
      <c r="S135" s="6" cm="1">
        <f t="array" ref="S135">_xlfn.XLOOKUP(C135,Insurance_Reimbursement_Matrix!$A$2:$A$6,_xlfn.XLOOKUP(_xlfn.XLOOKUP(F135,Age_Bracket_Reference!$A$2:$A$6,Age_Bracket_Reference!$B$2:$B$6,,-1),Insurance_Reimbursement_Matrix!$B$1:$F$1,Insurance_Reimbursement_Matrix!$B$2:$F$6))</f>
        <v>0.76</v>
      </c>
    </row>
    <row r="136" spans="1:19" x14ac:dyDescent="0.25">
      <c r="A136" s="2" t="s">
        <v>436</v>
      </c>
      <c r="B136" s="2" t="s">
        <v>437</v>
      </c>
      <c r="C136" s="2" t="s">
        <v>26</v>
      </c>
      <c r="D136" s="2" t="s">
        <v>115</v>
      </c>
      <c r="E136" s="2" t="s">
        <v>93</v>
      </c>
      <c r="F136" s="2">
        <v>66</v>
      </c>
      <c r="G136" s="2" t="s">
        <v>191</v>
      </c>
      <c r="H136" s="2" t="s">
        <v>438</v>
      </c>
      <c r="I136" s="18">
        <v>182046</v>
      </c>
      <c r="J136" s="2">
        <v>1</v>
      </c>
      <c r="K136" t="str">
        <f>_xlfn.IFNA(VLOOKUP(TRIM(E136),Doctor_Directory!$A$2:$D$31,2,FALSE),"No name")</f>
        <v>Dr. Ngozi Umar</v>
      </c>
      <c r="L136" t="str">
        <f>VLOOKUP(TRIM(D136),[1]Hospital_Details!$A$2:$D$16,2,FALSE)</f>
        <v>MC-KAN-02</v>
      </c>
      <c r="M136" t="str">
        <f>VLOOKUP(I136,Bill_Tier_Reference!$A$2:$B$5,2,TRUE)</f>
        <v>Tier 3 - Premium</v>
      </c>
      <c r="N136" t="str">
        <f>VLOOKUP(F136,Age_Bracket_Reference!$A$2:$B$6,2,TRUE)</f>
        <v>Senior</v>
      </c>
      <c r="O136" t="str">
        <f>VLOOKUP(C136,State_Coordinator!$A$2:$B$6,2,FALSE)</f>
        <v>Hauwa Mustapha</v>
      </c>
      <c r="P136" t="str">
        <f>VLOOKUP(L136,[2]Hospital_Details!$B$2:$D$16,3,FALSE)</f>
        <v>Bronze</v>
      </c>
      <c r="Q136" t="str" cm="1">
        <f t="array" ref="Q136">_xlfn.IFS(ISNUMBER(SEARCH("TB", G136)),Protocol_Reference!$B$2, ISNUMBER(SEARCH("Malaria",G136)),Protocol_Reference!$B$3, ISNUMBER(SEARCH("Typhoid",G136)),Protocol_Reference!$B$4, ISNUMBER(SEARCH("Hypertension", G136,)),Protocol_Reference!$B$5, ISNUMBER(SEARCH("Diabetes", G136)),Protocol_Reference!$B$6, ISNUMBER(SEARCH("Cholera", G136)),Protocol_Reference!$B$7, ISNUMBER(SEARCH("Pneumonia", G136)),Protocol_Reference!$B$8, TRUE, "Out of scope/ Routine Care")</f>
        <v>Directly Observed Treatment Short-course (DOTS) - 6 month regimen</v>
      </c>
      <c r="R136" s="16">
        <f>IFERROR(VLOOKUP(E136,Doctor_Directory!$A$2:$D$31,4,FALSE),"Check Doctor Code")</f>
        <v>9000</v>
      </c>
      <c r="S136" s="6" cm="1">
        <f t="array" ref="S136">_xlfn.XLOOKUP(C136,Insurance_Reimbursement_Matrix!$A$2:$A$6,_xlfn.XLOOKUP(_xlfn.XLOOKUP(F136,Age_Bracket_Reference!$A$2:$A$6,Age_Bracket_Reference!$B$2:$B$6,,-1),Insurance_Reimbursement_Matrix!$B$1:$F$1,Insurance_Reimbursement_Matrix!$B$2:$F$6))</f>
        <v>0.76</v>
      </c>
    </row>
    <row r="137" spans="1:19" x14ac:dyDescent="0.25">
      <c r="A137" s="2" t="s">
        <v>439</v>
      </c>
      <c r="B137" s="2" t="s">
        <v>440</v>
      </c>
      <c r="C137" s="2" t="s">
        <v>12</v>
      </c>
      <c r="D137" s="2" t="s">
        <v>217</v>
      </c>
      <c r="E137" s="2" t="s">
        <v>324</v>
      </c>
      <c r="F137" s="2">
        <v>31</v>
      </c>
      <c r="G137" s="2" t="s">
        <v>47</v>
      </c>
      <c r="H137" s="2" t="s">
        <v>188</v>
      </c>
      <c r="I137" s="18">
        <v>15285</v>
      </c>
      <c r="J137" s="2">
        <v>14</v>
      </c>
      <c r="K137" t="str">
        <f>_xlfn.IFNA(VLOOKUP(TRIM(E137),Doctor_Directory!$A$2:$D$31,2,FALSE),"No name")</f>
        <v>Dr. Ifeoma Ibe</v>
      </c>
      <c r="L137" t="str">
        <f>VLOOKUP(TRIM(D137),[1]Hospital_Details!$A$2:$D$16,2,FALSE)</f>
        <v>MC-PHC-03</v>
      </c>
      <c r="M137" t="str">
        <f>VLOOKUP(I137,Bill_Tier_Reference!$A$2:$B$5,2,TRUE)</f>
        <v>Tier 1 - Basic</v>
      </c>
      <c r="N137" t="str">
        <f>VLOOKUP(F137,Age_Bracket_Reference!$A$2:$B$6,2,TRUE)</f>
        <v>Young Adult</v>
      </c>
      <c r="O137" t="str">
        <f>VLOOKUP(C137,State_Coordinator!$A$2:$B$6,2,FALSE)</f>
        <v>Ebiere Amadi</v>
      </c>
      <c r="P137" t="str">
        <f>VLOOKUP(L137,[2]Hospital_Details!$B$2:$D$16,3,FALSE)</f>
        <v>Platinum</v>
      </c>
      <c r="Q137" t="str" cm="1">
        <f t="array" ref="Q137">_xlfn.IFS(ISNUMBER(SEARCH("TB", G137)),Protocol_Reference!$B$2, ISNUMBER(SEARCH("Malaria",G137)),Protocol_Reference!$B$3, ISNUMBER(SEARCH("Typhoid",G137)),Protocol_Reference!$B$4, ISNUMBER(SEARCH("Hypertension", G137,)),Protocol_Reference!$B$5, ISNUMBER(SEARCH("Diabetes", G137)),Protocol_Reference!$B$6, ISNUMBER(SEARCH("Cholera", G137)),Protocol_Reference!$B$7, ISNUMBER(SEARCH("Pneumonia", G137)),Protocol_Reference!$B$8, TRUE, "Out of scope/ Routine Care")</f>
        <v>Metformin 500mg twice daily + dietary counselling</v>
      </c>
      <c r="R137" s="16">
        <f>IFERROR(VLOOKUP(E137,Doctor_Directory!$A$2:$D$31,4,FALSE),"Check Doctor Code")</f>
        <v>4000</v>
      </c>
      <c r="S137" s="6" cm="1">
        <f t="array" ref="S137">_xlfn.XLOOKUP(C137,Insurance_Reimbursement_Matrix!$A$2:$A$6,_xlfn.XLOOKUP(_xlfn.XLOOKUP(F137,Age_Bracket_Reference!$A$2:$A$6,Age_Bracket_Reference!$B$2:$B$6,,-1),Insurance_Reimbursement_Matrix!$B$1:$F$1,Insurance_Reimbursement_Matrix!$B$2:$F$6))</f>
        <v>0.69</v>
      </c>
    </row>
    <row r="138" spans="1:19" x14ac:dyDescent="0.25">
      <c r="A138" s="2" t="s">
        <v>441</v>
      </c>
      <c r="B138" s="2" t="s">
        <v>442</v>
      </c>
      <c r="C138" s="2" t="s">
        <v>44</v>
      </c>
      <c r="D138" s="2" t="s">
        <v>45</v>
      </c>
      <c r="E138" s="2" t="s">
        <v>351</v>
      </c>
      <c r="F138" s="2">
        <v>37</v>
      </c>
      <c r="G138" s="2" t="s">
        <v>111</v>
      </c>
      <c r="H138" s="2" t="s">
        <v>310</v>
      </c>
      <c r="I138" s="18">
        <v>445948</v>
      </c>
      <c r="J138" s="2">
        <v>10</v>
      </c>
      <c r="K138" t="str">
        <f>_xlfn.IFNA(VLOOKUP(TRIM(E138),Doctor_Directory!$A$2:$D$31,2,FALSE),"No name")</f>
        <v>Dr. Segun Ibe</v>
      </c>
      <c r="L138" t="str">
        <f>VLOOKUP(TRIM(D138),[1]Hospital_Details!$A$2:$D$16,2,FALSE)</f>
        <v>MC-ABJ-01</v>
      </c>
      <c r="M138" t="str">
        <f>VLOOKUP(I138,Bill_Tier_Reference!$A$2:$B$5,2,TRUE)</f>
        <v>Tier 4 - Elite</v>
      </c>
      <c r="N138" t="str">
        <f>VLOOKUP(F138,Age_Bracket_Reference!$A$2:$B$6,2,TRUE)</f>
        <v>Adult</v>
      </c>
      <c r="O138" t="str">
        <f>VLOOKUP(C138,State_Coordinator!$A$2:$B$6,2,FALSE)</f>
        <v>Ibrahim Garba</v>
      </c>
      <c r="P138" t="str">
        <f>VLOOKUP(L138,[2]Hospital_Details!$B$2:$D$16,3,FALSE)</f>
        <v>Platinum</v>
      </c>
      <c r="Q138" t="str" cm="1">
        <f t="array" ref="Q138">_xlfn.IFS(ISNUMBER(SEARCH("TB", G138)),Protocol_Reference!$B$2, ISNUMBER(SEARCH("Malaria",G138)),Protocol_Reference!$B$3, ISNUMBER(SEARCH("Typhoid",G138)),Protocol_Reference!$B$4, ISNUMBER(SEARCH("Hypertension", G138,)),Protocol_Reference!$B$5, ISNUMBER(SEARCH("Diabetes", G138)),Protocol_Reference!$B$6, ISNUMBER(SEARCH("Cholera", G138)),Protocol_Reference!$B$7, ISNUMBER(SEARCH("Pneumonia", G138)),Protocol_Reference!$B$8, TRUE, "Out of scope/ Routine Care")</f>
        <v>Oral Rehydration Therapy + Doxycycline</v>
      </c>
      <c r="R138" s="16">
        <f>IFERROR(VLOOKUP(E138,Doctor_Directory!$A$2:$D$31,4,FALSE),"Check Doctor Code")</f>
        <v>8500</v>
      </c>
      <c r="S138" s="6" cm="1">
        <f t="array" ref="S138">_xlfn.XLOOKUP(C138,Insurance_Reimbursement_Matrix!$A$2:$A$6,_xlfn.XLOOKUP(_xlfn.XLOOKUP(F138,Age_Bracket_Reference!$A$2:$A$6,Age_Bracket_Reference!$B$2:$B$6,,-1),Insurance_Reimbursement_Matrix!$B$1:$F$1,Insurance_Reimbursement_Matrix!$B$2:$F$6))</f>
        <v>0.65</v>
      </c>
    </row>
    <row r="139" spans="1:19" x14ac:dyDescent="0.25">
      <c r="A139" s="2" t="s">
        <v>443</v>
      </c>
      <c r="B139" s="2" t="s">
        <v>444</v>
      </c>
      <c r="C139" s="2" t="s">
        <v>19</v>
      </c>
      <c r="D139" s="2" t="s">
        <v>160</v>
      </c>
      <c r="E139" s="2" t="s">
        <v>231</v>
      </c>
      <c r="F139" s="2">
        <v>20</v>
      </c>
      <c r="G139" s="2" t="s">
        <v>151</v>
      </c>
      <c r="H139" s="2" t="s">
        <v>445</v>
      </c>
      <c r="I139" s="18">
        <v>27286</v>
      </c>
      <c r="J139" s="2">
        <v>5</v>
      </c>
      <c r="K139" t="str">
        <f>_xlfn.IFNA(VLOOKUP(TRIM(E139),Doctor_Directory!$A$2:$D$31,2,FALSE),"No name")</f>
        <v>Dr. Bimpe Mohammed</v>
      </c>
      <c r="L139" t="str">
        <f>VLOOKUP(TRIM(D139),[1]Hospital_Details!$A$2:$D$16,2,FALSE)</f>
        <v>MC-LAG-02</v>
      </c>
      <c r="M139" t="str">
        <f>VLOOKUP(I139,Bill_Tier_Reference!$A$2:$B$5,2,TRUE)</f>
        <v>Tier 2 - Standard</v>
      </c>
      <c r="N139" t="str">
        <f>VLOOKUP(F139,Age_Bracket_Reference!$A$2:$B$6,2,TRUE)</f>
        <v>Young Adult</v>
      </c>
      <c r="O139" t="str">
        <f>VLOOKUP(C139,State_Coordinator!$A$2:$B$6,2,FALSE)</f>
        <v>Funmilayo Adebayo</v>
      </c>
      <c r="P139" t="str">
        <f>VLOOKUP(L139,[2]Hospital_Details!$B$2:$D$16,3,FALSE)</f>
        <v>Bronze</v>
      </c>
      <c r="Q139" t="str" cm="1">
        <f t="array" ref="Q139">_xlfn.IFS(ISNUMBER(SEARCH("TB", G139)),Protocol_Reference!$B$2, ISNUMBER(SEARCH("Malaria",G139)),Protocol_Reference!$B$3, ISNUMBER(SEARCH("Typhoid",G139)),Protocol_Reference!$B$4, ISNUMBER(SEARCH("Hypertension", G139,)),Protocol_Reference!$B$5, ISNUMBER(SEARCH("Diabetes", G139)),Protocol_Reference!$B$6, ISNUMBER(SEARCH("Cholera", G139)),Protocol_Reference!$B$7, ISNUMBER(SEARCH("Pneumonia", G139)),Protocol_Reference!$B$8, TRUE, "Out of scope/ Routine Care")</f>
        <v>Amoxicillin-Clavulanate 625mg three times daily for 7 days</v>
      </c>
      <c r="R139" s="16">
        <f>IFERROR(VLOOKUP(E139,Doctor_Directory!$A$2:$D$31,4,FALSE),"Check Doctor Code")</f>
        <v>4000</v>
      </c>
      <c r="S139" s="6" cm="1">
        <f t="array" ref="S139">_xlfn.XLOOKUP(C139,Insurance_Reimbursement_Matrix!$A$2:$A$6,_xlfn.XLOOKUP(_xlfn.XLOOKUP(F139,Age_Bracket_Reference!$A$2:$A$6,Age_Bracket_Reference!$B$2:$B$6,,-1),Insurance_Reimbursement_Matrix!$B$1:$F$1,Insurance_Reimbursement_Matrix!$B$2:$F$6))</f>
        <v>0.67</v>
      </c>
    </row>
    <row r="140" spans="1:19" x14ac:dyDescent="0.25">
      <c r="A140" s="2" t="s">
        <v>446</v>
      </c>
      <c r="B140" s="2" t="s">
        <v>447</v>
      </c>
      <c r="C140" s="2" t="s">
        <v>44</v>
      </c>
      <c r="D140" s="2" t="s">
        <v>138</v>
      </c>
      <c r="E140" s="2" t="s">
        <v>103</v>
      </c>
      <c r="F140" s="2">
        <v>80</v>
      </c>
      <c r="G140" s="2" t="s">
        <v>40</v>
      </c>
      <c r="H140" s="2" t="s">
        <v>234</v>
      </c>
      <c r="I140" s="18">
        <v>6632</v>
      </c>
      <c r="J140" s="2">
        <v>11</v>
      </c>
      <c r="K140" t="str">
        <f>_xlfn.IFNA(VLOOKUP(TRIM(E140),Doctor_Directory!$A$2:$D$31,2,FALSE),"No name")</f>
        <v>Dr. Segun Ogundele</v>
      </c>
      <c r="L140" t="str">
        <f>VLOOKUP(TRIM(D140),[1]Hospital_Details!$A$2:$D$16,2,FALSE)</f>
        <v>MC-ABJ-02</v>
      </c>
      <c r="M140" t="str">
        <f>VLOOKUP(I140,Bill_Tier_Reference!$A$2:$B$5,2,TRUE)</f>
        <v>Tier 1 - Basic</v>
      </c>
      <c r="N140" t="str">
        <f>VLOOKUP(F140,Age_Bracket_Reference!$A$2:$B$6,2,TRUE)</f>
        <v>Senior</v>
      </c>
      <c r="O140" t="str">
        <f>VLOOKUP(C140,State_Coordinator!$A$2:$B$6,2,FALSE)</f>
        <v>Ibrahim Garba</v>
      </c>
      <c r="P140" t="str">
        <f>VLOOKUP(L140,[2]Hospital_Details!$B$2:$D$16,3,FALSE)</f>
        <v>Silver</v>
      </c>
      <c r="Q140" t="str" cm="1">
        <f t="array" ref="Q140">_xlfn.IFS(ISNUMBER(SEARCH("TB", G140)),Protocol_Reference!$B$2, ISNUMBER(SEARCH("Malaria",G140)),Protocol_Reference!$B$3, ISNUMBER(SEARCH("Typhoid",G140)),Protocol_Reference!$B$4, ISNUMBER(SEARCH("Hypertension", G140,)),Protocol_Reference!$B$5, ISNUMBER(SEARCH("Diabetes", G140)),Protocol_Reference!$B$6, ISNUMBER(SEARCH("Cholera", G140)),Protocol_Reference!$B$7, ISNUMBER(SEARCH("Pneumonia", G140)),Protocol_Reference!$B$8, TRUE, "Out of scope/ Routine Care")</f>
        <v>Oral Rehydration Therapy + Doxycycline</v>
      </c>
      <c r="R140" s="16">
        <f>IFERROR(VLOOKUP(E140,Doctor_Directory!$A$2:$D$31,4,FALSE),"Check Doctor Code")</f>
        <v>5000</v>
      </c>
      <c r="S140" s="6" cm="1">
        <f t="array" ref="S140">_xlfn.XLOOKUP(C140,Insurance_Reimbursement_Matrix!$A$2:$A$6,_xlfn.XLOOKUP(_xlfn.XLOOKUP(F140,Age_Bracket_Reference!$A$2:$A$6,Age_Bracket_Reference!$B$2:$B$6,,-1),Insurance_Reimbursement_Matrix!$B$1:$F$1,Insurance_Reimbursement_Matrix!$B$2:$F$6))</f>
        <v>0.79</v>
      </c>
    </row>
    <row r="141" spans="1:19" x14ac:dyDescent="0.25">
      <c r="A141" s="2" t="s">
        <v>448</v>
      </c>
      <c r="B141" s="2" t="s">
        <v>449</v>
      </c>
      <c r="C141" s="2" t="s">
        <v>44</v>
      </c>
      <c r="D141" s="2" t="s">
        <v>450</v>
      </c>
      <c r="E141" s="2" t="s">
        <v>116</v>
      </c>
      <c r="F141" s="2">
        <v>55</v>
      </c>
      <c r="G141" s="2" t="s">
        <v>219</v>
      </c>
      <c r="H141" s="2" t="s">
        <v>348</v>
      </c>
      <c r="I141" s="18">
        <v>35765</v>
      </c>
      <c r="J141" s="2">
        <v>11</v>
      </c>
      <c r="K141" t="str">
        <f>_xlfn.IFNA(VLOOKUP(TRIM(E141),Doctor_Directory!$A$2:$D$31,2,FALSE),"No name")</f>
        <v>Dr. Tunde Usman</v>
      </c>
      <c r="L141" t="str">
        <f>VLOOKUP(TRIM(D141),[1]Hospital_Details!$A$2:$D$16,2,FALSE)</f>
        <v>MC-ABJ-03</v>
      </c>
      <c r="M141" t="str">
        <f>VLOOKUP(I141,Bill_Tier_Reference!$A$2:$B$5,2,TRUE)</f>
        <v>Tier 2 - Standard</v>
      </c>
      <c r="N141" t="str">
        <f>VLOOKUP(F141,Age_Bracket_Reference!$A$2:$B$6,2,TRUE)</f>
        <v>Adult</v>
      </c>
      <c r="O141" t="str">
        <f>VLOOKUP(C141,State_Coordinator!$A$2:$B$6,2,FALSE)</f>
        <v>Ibrahim Garba</v>
      </c>
      <c r="P141" t="str">
        <f>VLOOKUP(L141,[2]Hospital_Details!$B$2:$D$16,3,FALSE)</f>
        <v>Silver</v>
      </c>
      <c r="Q141" t="str" cm="1">
        <f t="array" ref="Q141">_xlfn.IFS(ISNUMBER(SEARCH("TB", G141)),Protocol_Reference!$B$2, ISNUMBER(SEARCH("Malaria",G141)),Protocol_Reference!$B$3, ISNUMBER(SEARCH("Typhoid",G141)),Protocol_Reference!$B$4, ISNUMBER(SEARCH("Hypertension", G141,)),Protocol_Reference!$B$5, ISNUMBER(SEARCH("Diabetes", G141)),Protocol_Reference!$B$6, ISNUMBER(SEARCH("Cholera", G141)),Protocol_Reference!$B$7, ISNUMBER(SEARCH("Pneumonia", G141)),Protocol_Reference!$B$8, TRUE, "Out of scope/ Routine Care")</f>
        <v>Directly Observed Treatment Short-course (DOTS) - 6 month regimen</v>
      </c>
      <c r="R141" s="16">
        <f>IFERROR(VLOOKUP(E141,Doctor_Directory!$A$2:$D$31,4,FALSE),"Check Doctor Code")</f>
        <v>10000</v>
      </c>
      <c r="S141" s="6" cm="1">
        <f t="array" ref="S141">_xlfn.XLOOKUP(C141,Insurance_Reimbursement_Matrix!$A$2:$A$6,_xlfn.XLOOKUP(_xlfn.XLOOKUP(F141,Age_Bracket_Reference!$A$2:$A$6,Age_Bracket_Reference!$B$2:$B$6,,-1),Insurance_Reimbursement_Matrix!$B$1:$F$1,Insurance_Reimbursement_Matrix!$B$2:$F$6))</f>
        <v>0.65</v>
      </c>
    </row>
    <row r="142" spans="1:19" x14ac:dyDescent="0.25">
      <c r="A142" s="2" t="s">
        <v>451</v>
      </c>
      <c r="B142" s="2" t="s">
        <v>452</v>
      </c>
      <c r="C142" s="2" t="s">
        <v>37</v>
      </c>
      <c r="D142" s="2" t="s">
        <v>97</v>
      </c>
      <c r="E142" s="2" t="s">
        <v>80</v>
      </c>
      <c r="F142" s="2">
        <v>68</v>
      </c>
      <c r="G142" s="2" t="s">
        <v>151</v>
      </c>
      <c r="H142" s="2" t="s">
        <v>201</v>
      </c>
      <c r="I142" s="18">
        <v>404710</v>
      </c>
      <c r="J142" s="2">
        <v>1</v>
      </c>
      <c r="K142" t="str">
        <f>_xlfn.IFNA(VLOOKUP(TRIM(E142),Doctor_Directory!$A$2:$D$31,2,FALSE),"No name")</f>
        <v>Dr. Folake Bamidele</v>
      </c>
      <c r="L142" t="str">
        <f>VLOOKUP(TRIM(D142),[1]Hospital_Details!$A$2:$D$16,2,FALSE)</f>
        <v>MC-ENU-02</v>
      </c>
      <c r="M142" t="str">
        <f>VLOOKUP(I142,Bill_Tier_Reference!$A$2:$B$5,2,TRUE)</f>
        <v>Tier 4 - Elite</v>
      </c>
      <c r="N142" t="str">
        <f>VLOOKUP(F142,Age_Bracket_Reference!$A$2:$B$6,2,TRUE)</f>
        <v>Senior</v>
      </c>
      <c r="O142" t="str">
        <f>VLOOKUP(C142,State_Coordinator!$A$2:$B$6,2,FALSE)</f>
        <v>Chidiebere Okoro</v>
      </c>
      <c r="P142" t="str">
        <f>VLOOKUP(L142,[2]Hospital_Details!$B$2:$D$16,3,FALSE)</f>
        <v>Bronze</v>
      </c>
      <c r="Q142" t="str" cm="1">
        <f t="array" ref="Q142">_xlfn.IFS(ISNUMBER(SEARCH("TB", G142)),Protocol_Reference!$B$2, ISNUMBER(SEARCH("Malaria",G142)),Protocol_Reference!$B$3, ISNUMBER(SEARCH("Typhoid",G142)),Protocol_Reference!$B$4, ISNUMBER(SEARCH("Hypertension", G142,)),Protocol_Reference!$B$5, ISNUMBER(SEARCH("Diabetes", G142)),Protocol_Reference!$B$6, ISNUMBER(SEARCH("Cholera", G142)),Protocol_Reference!$B$7, ISNUMBER(SEARCH("Pneumonia", G142)),Protocol_Reference!$B$8, TRUE, "Out of scope/ Routine Care")</f>
        <v>Amoxicillin-Clavulanate 625mg three times daily for 7 days</v>
      </c>
      <c r="R142" s="16">
        <f>IFERROR(VLOOKUP(E142,Doctor_Directory!$A$2:$D$31,4,FALSE),"Check Doctor Code")</f>
        <v>5000</v>
      </c>
      <c r="S142" s="6" cm="1">
        <f t="array" ref="S142">_xlfn.XLOOKUP(C142,Insurance_Reimbursement_Matrix!$A$2:$A$6,_xlfn.XLOOKUP(_xlfn.XLOOKUP(F142,Age_Bracket_Reference!$A$2:$A$6,Age_Bracket_Reference!$B$2:$B$6,,-1),Insurance_Reimbursement_Matrix!$B$1:$F$1,Insurance_Reimbursement_Matrix!$B$2:$F$6))</f>
        <v>0.76</v>
      </c>
    </row>
    <row r="143" spans="1:19" x14ac:dyDescent="0.25">
      <c r="A143" s="2" t="s">
        <v>453</v>
      </c>
      <c r="B143" s="2" t="s">
        <v>454</v>
      </c>
      <c r="C143" s="2" t="s">
        <v>26</v>
      </c>
      <c r="D143" s="2" t="s">
        <v>115</v>
      </c>
      <c r="E143" s="2" t="s">
        <v>69</v>
      </c>
      <c r="F143" s="2">
        <v>3</v>
      </c>
      <c r="G143" s="2" t="s">
        <v>22</v>
      </c>
      <c r="H143" s="2" t="s">
        <v>234</v>
      </c>
      <c r="I143" s="18">
        <v>171068</v>
      </c>
      <c r="J143" s="2">
        <v>3</v>
      </c>
      <c r="K143" t="str">
        <f>_xlfn.IFNA(VLOOKUP(TRIM(E143),Doctor_Directory!$A$2:$D$31,2,FALSE),"No name")</f>
        <v>Dr. Yusuf Usman</v>
      </c>
      <c r="L143" t="str">
        <f>VLOOKUP(TRIM(D143),[1]Hospital_Details!$A$2:$D$16,2,FALSE)</f>
        <v>MC-KAN-02</v>
      </c>
      <c r="M143" t="str">
        <f>VLOOKUP(I143,Bill_Tier_Reference!$A$2:$B$5,2,TRUE)</f>
        <v>Tier 3 - Premium</v>
      </c>
      <c r="N143" t="str">
        <f>VLOOKUP(F143,Age_Bracket_Reference!$A$2:$B$6,2,TRUE)</f>
        <v>Child</v>
      </c>
      <c r="O143" t="str">
        <f>VLOOKUP(C143,State_Coordinator!$A$2:$B$6,2,FALSE)</f>
        <v>Hauwa Mustapha</v>
      </c>
      <c r="P143" t="str">
        <f>VLOOKUP(L143,[2]Hospital_Details!$B$2:$D$16,3,FALSE)</f>
        <v>Bronze</v>
      </c>
      <c r="Q143" t="str" cm="1">
        <f t="array" ref="Q143">_xlfn.IFS(ISNUMBER(SEARCH("TB", G143)),Protocol_Reference!$B$2, ISNUMBER(SEARCH("Malaria",G143)),Protocol_Reference!$B$3, ISNUMBER(SEARCH("Typhoid",G143)),Protocol_Reference!$B$4, ISNUMBER(SEARCH("Hypertension", G143,)),Protocol_Reference!$B$5, ISNUMBER(SEARCH("Diabetes", G143)),Protocol_Reference!$B$6, ISNUMBER(SEARCH("Cholera", G143)),Protocol_Reference!$B$7, ISNUMBER(SEARCH("Pneumonia", G143)),Protocol_Reference!$B$8, TRUE, "Out of scope/ Routine Care")</f>
        <v>Out of scope/ Routine Care</v>
      </c>
      <c r="R143" s="16">
        <f>IFERROR(VLOOKUP(E143,Doctor_Directory!$A$2:$D$31,4,FALSE),"Check Doctor Code")</f>
        <v>9000</v>
      </c>
      <c r="S143" s="6" cm="1">
        <f t="array" ref="S143">_xlfn.XLOOKUP(C143,Insurance_Reimbursement_Matrix!$A$2:$A$6,_xlfn.XLOOKUP(_xlfn.XLOOKUP(F143,Age_Bracket_Reference!$A$2:$A$6,Age_Bracket_Reference!$B$2:$B$6,,-1),Insurance_Reimbursement_Matrix!$B$1:$F$1,Insurance_Reimbursement_Matrix!$B$2:$F$6))</f>
        <v>0.81</v>
      </c>
    </row>
    <row r="144" spans="1:19" x14ac:dyDescent="0.25">
      <c r="A144" s="2" t="s">
        <v>455</v>
      </c>
      <c r="B144" s="2" t="s">
        <v>456</v>
      </c>
      <c r="C144" s="2" t="s">
        <v>37</v>
      </c>
      <c r="D144" s="2" t="s">
        <v>97</v>
      </c>
      <c r="E144" s="2" t="s">
        <v>167</v>
      </c>
      <c r="F144" s="2">
        <v>83</v>
      </c>
      <c r="G144" s="2" t="s">
        <v>329</v>
      </c>
      <c r="H144" s="2" t="s">
        <v>370</v>
      </c>
      <c r="I144" s="18">
        <v>65573</v>
      </c>
      <c r="J144" s="2">
        <v>2</v>
      </c>
      <c r="K144" t="str">
        <f>_xlfn.IFNA(VLOOKUP(TRIM(E144),Doctor_Directory!$A$2:$D$31,2,FALSE),"No name")</f>
        <v>Dr. Hadiza Eze</v>
      </c>
      <c r="L144" t="str">
        <f>VLOOKUP(TRIM(D144),[1]Hospital_Details!$A$2:$D$16,2,FALSE)</f>
        <v>MC-ENU-02</v>
      </c>
      <c r="M144" t="str">
        <f>VLOOKUP(I144,Bill_Tier_Reference!$A$2:$B$5,2,TRUE)</f>
        <v>Tier 2 - Standard</v>
      </c>
      <c r="N144" t="str">
        <f>VLOOKUP(F144,Age_Bracket_Reference!$A$2:$B$6,2,TRUE)</f>
        <v>Senior</v>
      </c>
      <c r="O144" t="str">
        <f>VLOOKUP(C144,State_Coordinator!$A$2:$B$6,2,FALSE)</f>
        <v>Chidiebere Okoro</v>
      </c>
      <c r="P144" t="str">
        <f>VLOOKUP(L144,[2]Hospital_Details!$B$2:$D$16,3,FALSE)</f>
        <v>Bronze</v>
      </c>
      <c r="Q144" t="str" cm="1">
        <f t="array" ref="Q144">_xlfn.IFS(ISNUMBER(SEARCH("TB", G144)),Protocol_Reference!$B$2, ISNUMBER(SEARCH("Malaria",G144)),Protocol_Reference!$B$3, ISNUMBER(SEARCH("Typhoid",G144)),Protocol_Reference!$B$4, ISNUMBER(SEARCH("Hypertension", G144,)),Protocol_Reference!$B$5, ISNUMBER(SEARCH("Diabetes", G144)),Protocol_Reference!$B$6, ISNUMBER(SEARCH("Cholera", G144)),Protocol_Reference!$B$7, ISNUMBER(SEARCH("Pneumonia", G144)),Protocol_Reference!$B$8, TRUE, "Out of scope/ Routine Care")</f>
        <v>Artemisinin-based Combination Therapy (ACT) - 3-day course</v>
      </c>
      <c r="R144" s="16">
        <f>IFERROR(VLOOKUP(E144,Doctor_Directory!$A$2:$D$31,4,FALSE),"Check Doctor Code")</f>
        <v>4500</v>
      </c>
      <c r="S144" s="6" cm="1">
        <f t="array" ref="S144">_xlfn.XLOOKUP(C144,Insurance_Reimbursement_Matrix!$A$2:$A$6,_xlfn.XLOOKUP(_xlfn.XLOOKUP(F144,Age_Bracket_Reference!$A$2:$A$6,Age_Bracket_Reference!$B$2:$B$6,,-1),Insurance_Reimbursement_Matrix!$B$1:$F$1,Insurance_Reimbursement_Matrix!$B$2:$F$6))</f>
        <v>0.76</v>
      </c>
    </row>
    <row r="145" spans="1:19" x14ac:dyDescent="0.25">
      <c r="A145" s="2" t="s">
        <v>457</v>
      </c>
      <c r="B145" s="2" t="s">
        <v>458</v>
      </c>
      <c r="C145" s="2" t="s">
        <v>19</v>
      </c>
      <c r="D145" s="2" t="s">
        <v>160</v>
      </c>
      <c r="E145" s="2" t="s">
        <v>52</v>
      </c>
      <c r="F145" s="2">
        <v>6</v>
      </c>
      <c r="G145" s="2" t="s">
        <v>98</v>
      </c>
      <c r="H145" s="2" t="s">
        <v>459</v>
      </c>
      <c r="I145" s="18">
        <v>362569</v>
      </c>
      <c r="J145" s="2">
        <v>14</v>
      </c>
      <c r="K145" t="str">
        <f>_xlfn.IFNA(VLOOKUP(TRIM(E145),Doctor_Directory!$A$2:$D$31,2,FALSE),"No name")</f>
        <v>No name</v>
      </c>
      <c r="L145" t="str">
        <f>VLOOKUP(TRIM(D145),[1]Hospital_Details!$A$2:$D$16,2,FALSE)</f>
        <v>MC-LAG-02</v>
      </c>
      <c r="M145" t="str">
        <f>VLOOKUP(I145,Bill_Tier_Reference!$A$2:$B$5,2,TRUE)</f>
        <v>Tier 4 - Elite</v>
      </c>
      <c r="N145" t="str">
        <f>VLOOKUP(F145,Age_Bracket_Reference!$A$2:$B$6,2,TRUE)</f>
        <v>Child</v>
      </c>
      <c r="O145" t="str">
        <f>VLOOKUP(C145,State_Coordinator!$A$2:$B$6,2,FALSE)</f>
        <v>Funmilayo Adebayo</v>
      </c>
      <c r="P145" t="str">
        <f>VLOOKUP(L145,[2]Hospital_Details!$B$2:$D$16,3,FALSE)</f>
        <v>Bronze</v>
      </c>
      <c r="Q145" t="str" cm="1">
        <f t="array" ref="Q145">_xlfn.IFS(ISNUMBER(SEARCH("TB", G145)),Protocol_Reference!$B$2, ISNUMBER(SEARCH("Malaria",G145)),Protocol_Reference!$B$3, ISNUMBER(SEARCH("Typhoid",G145)),Protocol_Reference!$B$4, ISNUMBER(SEARCH("Hypertension", G145,)),Protocol_Reference!$B$5, ISNUMBER(SEARCH("Diabetes", G145)),Protocol_Reference!$B$6, ISNUMBER(SEARCH("Cholera", G145)),Protocol_Reference!$B$7, ISNUMBER(SEARCH("Pneumonia", G145)),Protocol_Reference!$B$8, TRUE, "Out of scope/ Routine Care")</f>
        <v>Directly Observed Treatment Short-course (DOTS) - 6 month regimen</v>
      </c>
      <c r="R145" s="16" t="str">
        <f>IFERROR(VLOOKUP(E145,Doctor_Directory!$A$2:$D$31,4,FALSE),"Check Doctor Code")</f>
        <v>Check Doctor Code</v>
      </c>
      <c r="S145" s="6" cm="1">
        <f t="array" ref="S145">_xlfn.XLOOKUP(C145,Insurance_Reimbursement_Matrix!$A$2:$A$6,_xlfn.XLOOKUP(_xlfn.XLOOKUP(F145,Age_Bracket_Reference!$A$2:$A$6,Age_Bracket_Reference!$B$2:$B$6,,-1),Insurance_Reimbursement_Matrix!$B$1:$F$1,Insurance_Reimbursement_Matrix!$B$2:$F$6))</f>
        <v>0.83</v>
      </c>
    </row>
    <row r="146" spans="1:19" x14ac:dyDescent="0.25">
      <c r="A146" s="2" t="s">
        <v>460</v>
      </c>
      <c r="B146" s="2" t="s">
        <v>238</v>
      </c>
      <c r="C146" s="2" t="s">
        <v>26</v>
      </c>
      <c r="D146" s="2" t="s">
        <v>150</v>
      </c>
      <c r="E146" s="2" t="s">
        <v>58</v>
      </c>
      <c r="F146" s="2">
        <v>83</v>
      </c>
      <c r="G146" s="2" t="s">
        <v>129</v>
      </c>
      <c r="H146" s="2" t="s">
        <v>294</v>
      </c>
      <c r="I146" s="18">
        <v>81265</v>
      </c>
      <c r="J146" s="2">
        <v>2</v>
      </c>
      <c r="K146" t="str">
        <f>_xlfn.IFNA(VLOOKUP(TRIM(E146),Doctor_Directory!$A$2:$D$31,2,FALSE),"No name")</f>
        <v>Dr. Damilola Chidozie</v>
      </c>
      <c r="L146" t="str">
        <f>VLOOKUP(TRIM(D146),[1]Hospital_Details!$A$2:$D$16,2,FALSE)</f>
        <v>MC-KAN-01</v>
      </c>
      <c r="M146" t="str">
        <f>VLOOKUP(I146,Bill_Tier_Reference!$A$2:$B$5,2,TRUE)</f>
        <v>Tier 3 - Premium</v>
      </c>
      <c r="N146" t="str">
        <f>VLOOKUP(F146,Age_Bracket_Reference!$A$2:$B$6,2,TRUE)</f>
        <v>Senior</v>
      </c>
      <c r="O146" t="str">
        <f>VLOOKUP(C146,State_Coordinator!$A$2:$B$6,2,FALSE)</f>
        <v>Hauwa Mustapha</v>
      </c>
      <c r="P146" t="str">
        <f>VLOOKUP(L146,[2]Hospital_Details!$B$2:$D$16,3,FALSE)</f>
        <v>Silver</v>
      </c>
      <c r="Q146" t="str" cm="1">
        <f t="array" ref="Q146">_xlfn.IFS(ISNUMBER(SEARCH("TB", G146)),Protocol_Reference!$B$2, ISNUMBER(SEARCH("Malaria",G146)),Protocol_Reference!$B$3, ISNUMBER(SEARCH("Typhoid",G146)),Protocol_Reference!$B$4, ISNUMBER(SEARCH("Hypertension", G146,)),Protocol_Reference!$B$5, ISNUMBER(SEARCH("Diabetes", G146)),Protocol_Reference!$B$6, ISNUMBER(SEARCH("Cholera", G146)),Protocol_Reference!$B$7, ISNUMBER(SEARCH("Pneumonia", G146)),Protocol_Reference!$B$8, TRUE, "Out of scope/ Routine Care")</f>
        <v>Artemisinin-based Combination Therapy (ACT) - 3-day course</v>
      </c>
      <c r="R146" s="16">
        <f>IFERROR(VLOOKUP(E146,Doctor_Directory!$A$2:$D$31,4,FALSE),"Check Doctor Code")</f>
        <v>6000</v>
      </c>
      <c r="S146" s="6" cm="1">
        <f t="array" ref="S146">_xlfn.XLOOKUP(C146,Insurance_Reimbursement_Matrix!$A$2:$A$6,_xlfn.XLOOKUP(_xlfn.XLOOKUP(F146,Age_Bracket_Reference!$A$2:$A$6,Age_Bracket_Reference!$B$2:$B$6,,-1),Insurance_Reimbursement_Matrix!$B$1:$F$1,Insurance_Reimbursement_Matrix!$B$2:$F$6))</f>
        <v>0.76</v>
      </c>
    </row>
    <row r="147" spans="1:19" x14ac:dyDescent="0.25">
      <c r="A147" s="2" t="s">
        <v>461</v>
      </c>
      <c r="B147" s="2" t="s">
        <v>462</v>
      </c>
      <c r="C147" s="2" t="s">
        <v>12</v>
      </c>
      <c r="D147" s="2" t="s">
        <v>217</v>
      </c>
      <c r="E147" s="2" t="s">
        <v>14</v>
      </c>
      <c r="F147" s="2">
        <v>50</v>
      </c>
      <c r="G147" s="2" t="s">
        <v>89</v>
      </c>
      <c r="H147" s="2" t="s">
        <v>430</v>
      </c>
      <c r="I147" s="18">
        <v>140211</v>
      </c>
      <c r="J147" s="2">
        <v>13</v>
      </c>
      <c r="K147" t="str">
        <f>_xlfn.IFNA(VLOOKUP(TRIM(E147),Doctor_Directory!$A$2:$D$31,2,FALSE),"No name")</f>
        <v>Dr. Blessing Adekunle</v>
      </c>
      <c r="L147" t="str">
        <f>VLOOKUP(TRIM(D147),[1]Hospital_Details!$A$2:$D$16,2,FALSE)</f>
        <v>MC-PHC-03</v>
      </c>
      <c r="M147" t="str">
        <f>VLOOKUP(I147,Bill_Tier_Reference!$A$2:$B$5,2,TRUE)</f>
        <v>Tier 3 - Premium</v>
      </c>
      <c r="N147" t="str">
        <f>VLOOKUP(F147,Age_Bracket_Reference!$A$2:$B$6,2,TRUE)</f>
        <v>Adult</v>
      </c>
      <c r="O147" t="str">
        <f>VLOOKUP(C147,State_Coordinator!$A$2:$B$6,2,FALSE)</f>
        <v>Ebiere Amadi</v>
      </c>
      <c r="P147" t="str">
        <f>VLOOKUP(L147,[2]Hospital_Details!$B$2:$D$16,3,FALSE)</f>
        <v>Platinum</v>
      </c>
      <c r="Q147" t="str" cm="1">
        <f t="array" ref="Q147">_xlfn.IFS(ISNUMBER(SEARCH("TB", G147)),Protocol_Reference!$B$2, ISNUMBER(SEARCH("Malaria",G147)),Protocol_Reference!$B$3, ISNUMBER(SEARCH("Typhoid",G147)),Protocol_Reference!$B$4, ISNUMBER(SEARCH("Hypertension", G147,)),Protocol_Reference!$B$5, ISNUMBER(SEARCH("Diabetes", G147)),Protocol_Reference!$B$6, ISNUMBER(SEARCH("Cholera", G147)),Protocol_Reference!$B$7, ISNUMBER(SEARCH("Pneumonia", G147)),Protocol_Reference!$B$8, TRUE, "Out of scope/ Routine Care")</f>
        <v>Out of scope/ Routine Care</v>
      </c>
      <c r="R147" s="16">
        <f>IFERROR(VLOOKUP(E147,Doctor_Directory!$A$2:$D$31,4,FALSE),"Check Doctor Code")</f>
        <v>10000</v>
      </c>
      <c r="S147" s="6" cm="1">
        <f t="array" ref="S147">_xlfn.XLOOKUP(C147,Insurance_Reimbursement_Matrix!$A$2:$A$6,_xlfn.XLOOKUP(_xlfn.XLOOKUP(F147,Age_Bracket_Reference!$A$2:$A$6,Age_Bracket_Reference!$B$2:$B$6,,-1),Insurance_Reimbursement_Matrix!$B$1:$F$1,Insurance_Reimbursement_Matrix!$B$2:$F$6))</f>
        <v>0.71</v>
      </c>
    </row>
    <row r="148" spans="1:19" x14ac:dyDescent="0.25">
      <c r="A148" s="2" t="s">
        <v>463</v>
      </c>
      <c r="B148" s="2" t="s">
        <v>464</v>
      </c>
      <c r="C148" s="2" t="s">
        <v>19</v>
      </c>
      <c r="D148" s="2" t="s">
        <v>160</v>
      </c>
      <c r="E148" s="2" t="s">
        <v>28</v>
      </c>
      <c r="F148" s="2">
        <v>24</v>
      </c>
      <c r="G148" s="2" t="s">
        <v>151</v>
      </c>
      <c r="H148" s="2" t="s">
        <v>339</v>
      </c>
      <c r="I148" s="18">
        <v>85494</v>
      </c>
      <c r="J148" s="2">
        <v>5</v>
      </c>
      <c r="K148" t="str">
        <f>_xlfn.IFNA(VLOOKUP(TRIM(E148),Doctor_Directory!$A$2:$D$31,2,FALSE),"No name")</f>
        <v>Dr. Ronke Nnaji</v>
      </c>
      <c r="L148" t="str">
        <f>VLOOKUP(TRIM(D148),[1]Hospital_Details!$A$2:$D$16,2,FALSE)</f>
        <v>MC-LAG-02</v>
      </c>
      <c r="M148" t="str">
        <f>VLOOKUP(I148,Bill_Tier_Reference!$A$2:$B$5,2,TRUE)</f>
        <v>Tier 3 - Premium</v>
      </c>
      <c r="N148" t="str">
        <f>VLOOKUP(F148,Age_Bracket_Reference!$A$2:$B$6,2,TRUE)</f>
        <v>Young Adult</v>
      </c>
      <c r="O148" t="str">
        <f>VLOOKUP(C148,State_Coordinator!$A$2:$B$6,2,FALSE)</f>
        <v>Funmilayo Adebayo</v>
      </c>
      <c r="P148" t="str">
        <f>VLOOKUP(L148,[2]Hospital_Details!$B$2:$D$16,3,FALSE)</f>
        <v>Bronze</v>
      </c>
      <c r="Q148" t="str" cm="1">
        <f t="array" ref="Q148">_xlfn.IFS(ISNUMBER(SEARCH("TB", G148)),Protocol_Reference!$B$2, ISNUMBER(SEARCH("Malaria",G148)),Protocol_Reference!$B$3, ISNUMBER(SEARCH("Typhoid",G148)),Protocol_Reference!$B$4, ISNUMBER(SEARCH("Hypertension", G148,)),Protocol_Reference!$B$5, ISNUMBER(SEARCH("Diabetes", G148)),Protocol_Reference!$B$6, ISNUMBER(SEARCH("Cholera", G148)),Protocol_Reference!$B$7, ISNUMBER(SEARCH("Pneumonia", G148)),Protocol_Reference!$B$8, TRUE, "Out of scope/ Routine Care")</f>
        <v>Amoxicillin-Clavulanate 625mg three times daily for 7 days</v>
      </c>
      <c r="R148" s="16">
        <f>IFERROR(VLOOKUP(E148,Doctor_Directory!$A$2:$D$31,4,FALSE),"Check Doctor Code")</f>
        <v>4000</v>
      </c>
      <c r="S148" s="6" cm="1">
        <f t="array" ref="S148">_xlfn.XLOOKUP(C148,Insurance_Reimbursement_Matrix!$A$2:$A$6,_xlfn.XLOOKUP(_xlfn.XLOOKUP(F148,Age_Bracket_Reference!$A$2:$A$6,Age_Bracket_Reference!$B$2:$B$6,,-1),Insurance_Reimbursement_Matrix!$B$1:$F$1,Insurance_Reimbursement_Matrix!$B$2:$F$6))</f>
        <v>0.67</v>
      </c>
    </row>
    <row r="149" spans="1:19" x14ac:dyDescent="0.25">
      <c r="A149" s="2" t="s">
        <v>465</v>
      </c>
      <c r="B149" s="2" t="s">
        <v>466</v>
      </c>
      <c r="C149" s="2" t="s">
        <v>12</v>
      </c>
      <c r="D149" s="2" t="s">
        <v>13</v>
      </c>
      <c r="E149" s="2" t="s">
        <v>195</v>
      </c>
      <c r="F149" s="2">
        <v>57</v>
      </c>
      <c r="G149" s="2" t="s">
        <v>22</v>
      </c>
      <c r="H149" s="2" t="s">
        <v>275</v>
      </c>
      <c r="I149" s="18">
        <v>384842</v>
      </c>
      <c r="J149" s="2">
        <v>5</v>
      </c>
      <c r="K149" t="str">
        <f>_xlfn.IFNA(VLOOKUP(TRIM(E149),Doctor_Directory!$A$2:$D$31,2,FALSE),"No name")</f>
        <v>Dr. Oluwaseun Ogunleye</v>
      </c>
      <c r="L149" t="str">
        <f>VLOOKUP(TRIM(D149),[1]Hospital_Details!$A$2:$D$16,2,FALSE)</f>
        <v>MC-PHC-01</v>
      </c>
      <c r="M149" t="str">
        <f>VLOOKUP(I149,Bill_Tier_Reference!$A$2:$B$5,2,TRUE)</f>
        <v>Tier 4 - Elite</v>
      </c>
      <c r="N149" t="str">
        <f>VLOOKUP(F149,Age_Bracket_Reference!$A$2:$B$6,2,TRUE)</f>
        <v>Adult</v>
      </c>
      <c r="O149" t="str">
        <f>VLOOKUP(C149,State_Coordinator!$A$2:$B$6,2,FALSE)</f>
        <v>Ebiere Amadi</v>
      </c>
      <c r="P149" t="str">
        <f>VLOOKUP(L149,[2]Hospital_Details!$B$2:$D$16,3,FALSE)</f>
        <v>Bronze</v>
      </c>
      <c r="Q149" t="str" cm="1">
        <f t="array" ref="Q149">_xlfn.IFS(ISNUMBER(SEARCH("TB", G149)),Protocol_Reference!$B$2, ISNUMBER(SEARCH("Malaria",G149)),Protocol_Reference!$B$3, ISNUMBER(SEARCH("Typhoid",G149)),Protocol_Reference!$B$4, ISNUMBER(SEARCH("Hypertension", G149,)),Protocol_Reference!$B$5, ISNUMBER(SEARCH("Diabetes", G149)),Protocol_Reference!$B$6, ISNUMBER(SEARCH("Cholera", G149)),Protocol_Reference!$B$7, ISNUMBER(SEARCH("Pneumonia", G149)),Protocol_Reference!$B$8, TRUE, "Out of scope/ Routine Care")</f>
        <v>Out of scope/ Routine Care</v>
      </c>
      <c r="R149" s="16">
        <f>IFERROR(VLOOKUP(E149,Doctor_Directory!$A$2:$D$31,4,FALSE),"Check Doctor Code")</f>
        <v>4500</v>
      </c>
      <c r="S149" s="6" cm="1">
        <f t="array" ref="S149">_xlfn.XLOOKUP(C149,Insurance_Reimbursement_Matrix!$A$2:$A$6,_xlfn.XLOOKUP(_xlfn.XLOOKUP(F149,Age_Bracket_Reference!$A$2:$A$6,Age_Bracket_Reference!$B$2:$B$6,,-1),Insurance_Reimbursement_Matrix!$B$1:$F$1,Insurance_Reimbursement_Matrix!$B$2:$F$6))</f>
        <v>0.71</v>
      </c>
    </row>
    <row r="150" spans="1:19" x14ac:dyDescent="0.25">
      <c r="A150" s="2" t="s">
        <v>467</v>
      </c>
      <c r="B150" s="2" t="s">
        <v>92</v>
      </c>
      <c r="C150" s="2" t="s">
        <v>19</v>
      </c>
      <c r="D150" s="2" t="s">
        <v>102</v>
      </c>
      <c r="E150" s="2" t="s">
        <v>103</v>
      </c>
      <c r="F150" s="2">
        <v>52</v>
      </c>
      <c r="G150" s="2" t="s">
        <v>22</v>
      </c>
      <c r="H150" s="2" t="s">
        <v>468</v>
      </c>
      <c r="I150" s="18">
        <v>8242</v>
      </c>
      <c r="J150" s="2">
        <v>3</v>
      </c>
      <c r="K150" t="str">
        <f>_xlfn.IFNA(VLOOKUP(TRIM(E150),Doctor_Directory!$A$2:$D$31,2,FALSE),"No name")</f>
        <v>Dr. Segun Ogundele</v>
      </c>
      <c r="L150" t="str">
        <f>VLOOKUP(TRIM(D150),[1]Hospital_Details!$A$2:$D$16,2,FALSE)</f>
        <v>MC-LAG-03</v>
      </c>
      <c r="M150" t="str">
        <f>VLOOKUP(I150,Bill_Tier_Reference!$A$2:$B$5,2,TRUE)</f>
        <v>Tier 1 - Basic</v>
      </c>
      <c r="N150" t="str">
        <f>VLOOKUP(F150,Age_Bracket_Reference!$A$2:$B$6,2,TRUE)</f>
        <v>Adult</v>
      </c>
      <c r="O150" t="str">
        <f>VLOOKUP(C150,State_Coordinator!$A$2:$B$6,2,FALSE)</f>
        <v>Funmilayo Adebayo</v>
      </c>
      <c r="P150" t="str">
        <f>VLOOKUP(L150,[2]Hospital_Details!$B$2:$D$16,3,FALSE)</f>
        <v>Bronze</v>
      </c>
      <c r="Q150" t="str" cm="1">
        <f t="array" ref="Q150">_xlfn.IFS(ISNUMBER(SEARCH("TB", G150)),Protocol_Reference!$B$2, ISNUMBER(SEARCH("Malaria",G150)),Protocol_Reference!$B$3, ISNUMBER(SEARCH("Typhoid",G150)),Protocol_Reference!$B$4, ISNUMBER(SEARCH("Hypertension", G150,)),Protocol_Reference!$B$5, ISNUMBER(SEARCH("Diabetes", G150)),Protocol_Reference!$B$6, ISNUMBER(SEARCH("Cholera", G150)),Protocol_Reference!$B$7, ISNUMBER(SEARCH("Pneumonia", G150)),Protocol_Reference!$B$8, TRUE, "Out of scope/ Routine Care")</f>
        <v>Out of scope/ Routine Care</v>
      </c>
      <c r="R150" s="16">
        <f>IFERROR(VLOOKUP(E150,Doctor_Directory!$A$2:$D$31,4,FALSE),"Check Doctor Code")</f>
        <v>5000</v>
      </c>
      <c r="S150" s="6" cm="1">
        <f t="array" ref="S150">_xlfn.XLOOKUP(C150,Insurance_Reimbursement_Matrix!$A$2:$A$6,_xlfn.XLOOKUP(_xlfn.XLOOKUP(F150,Age_Bracket_Reference!$A$2:$A$6,Age_Bracket_Reference!$B$2:$B$6,,-1),Insurance_Reimbursement_Matrix!$B$1:$F$1,Insurance_Reimbursement_Matrix!$B$2:$F$6))</f>
        <v>0.66</v>
      </c>
    </row>
    <row r="151" spans="1:19" x14ac:dyDescent="0.25">
      <c r="A151" s="2" t="s">
        <v>469</v>
      </c>
      <c r="B151" s="2" t="s">
        <v>321</v>
      </c>
      <c r="C151" s="2" t="s">
        <v>26</v>
      </c>
      <c r="D151" s="2" t="s">
        <v>115</v>
      </c>
      <c r="E151" s="2" t="s">
        <v>21</v>
      </c>
      <c r="F151" s="2">
        <v>73</v>
      </c>
      <c r="G151" s="2" t="s">
        <v>121</v>
      </c>
      <c r="H151" s="2" t="s">
        <v>445</v>
      </c>
      <c r="I151" s="18">
        <v>133972</v>
      </c>
      <c r="J151" s="2">
        <v>8</v>
      </c>
      <c r="K151" t="str">
        <f>_xlfn.IFNA(VLOOKUP(TRIM(E151),Doctor_Directory!$A$2:$D$31,2,FALSE),"No name")</f>
        <v>Dr. Amaka Nwosu</v>
      </c>
      <c r="L151" t="str">
        <f>VLOOKUP(TRIM(D151),[1]Hospital_Details!$A$2:$D$16,2,FALSE)</f>
        <v>MC-KAN-02</v>
      </c>
      <c r="M151" t="str">
        <f>VLOOKUP(I151,Bill_Tier_Reference!$A$2:$B$5,2,TRUE)</f>
        <v>Tier 3 - Premium</v>
      </c>
      <c r="N151" t="str">
        <f>VLOOKUP(F151,Age_Bracket_Reference!$A$2:$B$6,2,TRUE)</f>
        <v>Senior</v>
      </c>
      <c r="O151" t="str">
        <f>VLOOKUP(C151,State_Coordinator!$A$2:$B$6,2,FALSE)</f>
        <v>Hauwa Mustapha</v>
      </c>
      <c r="P151" t="str">
        <f>VLOOKUP(L151,[2]Hospital_Details!$B$2:$D$16,3,FALSE)</f>
        <v>Bronze</v>
      </c>
      <c r="Q151" t="str" cm="1">
        <f t="array" ref="Q151">_xlfn.IFS(ISNUMBER(SEARCH("TB", G151)),Protocol_Reference!$B$2, ISNUMBER(SEARCH("Malaria",G151)),Protocol_Reference!$B$3, ISNUMBER(SEARCH("Typhoid",G151)),Protocol_Reference!$B$4, ISNUMBER(SEARCH("Hypertension", G151,)),Protocol_Reference!$B$5, ISNUMBER(SEARCH("Diabetes", G151)),Protocol_Reference!$B$6, ISNUMBER(SEARCH("Cholera", G151)),Protocol_Reference!$B$7, ISNUMBER(SEARCH("Pneumonia", G151)),Protocol_Reference!$B$8, TRUE, "Out of scope/ Routine Care")</f>
        <v>Directly Observed Treatment Short-course (DOTS) - 6 month regimen</v>
      </c>
      <c r="R151" s="16">
        <f>IFERROR(VLOOKUP(E151,Doctor_Directory!$A$2:$D$31,4,FALSE),"Check Doctor Code")</f>
        <v>5500</v>
      </c>
      <c r="S151" s="6" cm="1">
        <f t="array" ref="S151">_xlfn.XLOOKUP(C151,Insurance_Reimbursement_Matrix!$A$2:$A$6,_xlfn.XLOOKUP(_xlfn.XLOOKUP(F151,Age_Bracket_Reference!$A$2:$A$6,Age_Bracket_Reference!$B$2:$B$6,,-1),Insurance_Reimbursement_Matrix!$B$1:$F$1,Insurance_Reimbursement_Matrix!$B$2:$F$6))</f>
        <v>0.76</v>
      </c>
    </row>
    <row r="152" spans="1:19" x14ac:dyDescent="0.25">
      <c r="A152" s="2" t="s">
        <v>470</v>
      </c>
      <c r="B152" s="2" t="s">
        <v>471</v>
      </c>
      <c r="C152" s="2" t="s">
        <v>37</v>
      </c>
      <c r="D152" s="2" t="s">
        <v>79</v>
      </c>
      <c r="E152" s="2" t="s">
        <v>198</v>
      </c>
      <c r="F152" s="2">
        <v>47</v>
      </c>
      <c r="G152" s="2" t="s">
        <v>47</v>
      </c>
      <c r="H152" s="2" t="s">
        <v>174</v>
      </c>
      <c r="I152" s="18">
        <v>36358</v>
      </c>
      <c r="J152" s="2">
        <v>8</v>
      </c>
      <c r="K152" t="str">
        <f>_xlfn.IFNA(VLOOKUP(TRIM(E152),Doctor_Directory!$A$2:$D$31,2,FALSE),"No name")</f>
        <v>Dr. Bukola Yakubu</v>
      </c>
      <c r="L152" t="str">
        <f>VLOOKUP(TRIM(D152),[1]Hospital_Details!$A$2:$D$16,2,FALSE)</f>
        <v>MC-ENU-01</v>
      </c>
      <c r="M152" t="str">
        <f>VLOOKUP(I152,Bill_Tier_Reference!$A$2:$B$5,2,TRUE)</f>
        <v>Tier 2 - Standard</v>
      </c>
      <c r="N152" t="str">
        <f>VLOOKUP(F152,Age_Bracket_Reference!$A$2:$B$6,2,TRUE)</f>
        <v>Adult</v>
      </c>
      <c r="O152" t="str">
        <f>VLOOKUP(C152,State_Coordinator!$A$2:$B$6,2,FALSE)</f>
        <v>Chidiebere Okoro</v>
      </c>
      <c r="P152" t="str">
        <f>VLOOKUP(L152,[2]Hospital_Details!$B$2:$D$16,3,FALSE)</f>
        <v>Gold</v>
      </c>
      <c r="Q152" t="str" cm="1">
        <f t="array" ref="Q152">_xlfn.IFS(ISNUMBER(SEARCH("TB", G152)),Protocol_Reference!$B$2, ISNUMBER(SEARCH("Malaria",G152)),Protocol_Reference!$B$3, ISNUMBER(SEARCH("Typhoid",G152)),Protocol_Reference!$B$4, ISNUMBER(SEARCH("Hypertension", G152,)),Protocol_Reference!$B$5, ISNUMBER(SEARCH("Diabetes", G152)),Protocol_Reference!$B$6, ISNUMBER(SEARCH("Cholera", G152)),Protocol_Reference!$B$7, ISNUMBER(SEARCH("Pneumonia", G152)),Protocol_Reference!$B$8, TRUE, "Out of scope/ Routine Care")</f>
        <v>Metformin 500mg twice daily + dietary counselling</v>
      </c>
      <c r="R152" s="16">
        <f>IFERROR(VLOOKUP(E152,Doctor_Directory!$A$2:$D$31,4,FALSE),"Check Doctor Code")</f>
        <v>7500</v>
      </c>
      <c r="S152" s="6" cm="1">
        <f t="array" ref="S152">_xlfn.XLOOKUP(C152,Insurance_Reimbursement_Matrix!$A$2:$A$6,_xlfn.XLOOKUP(_xlfn.XLOOKUP(F152,Age_Bracket_Reference!$A$2:$A$6,Age_Bracket_Reference!$B$2:$B$6,,-1),Insurance_Reimbursement_Matrix!$B$1:$F$1,Insurance_Reimbursement_Matrix!$B$2:$F$6))</f>
        <v>0.68</v>
      </c>
    </row>
    <row r="153" spans="1:19" x14ac:dyDescent="0.25">
      <c r="A153" s="2" t="s">
        <v>472</v>
      </c>
      <c r="B153" s="2" t="s">
        <v>473</v>
      </c>
      <c r="C153" s="2" t="s">
        <v>37</v>
      </c>
      <c r="D153" s="2" t="s">
        <v>474</v>
      </c>
      <c r="E153" s="2" t="s">
        <v>58</v>
      </c>
      <c r="F153" s="2">
        <v>34</v>
      </c>
      <c r="G153" s="2" t="s">
        <v>117</v>
      </c>
      <c r="H153" s="2" t="s">
        <v>275</v>
      </c>
      <c r="I153" s="18">
        <v>60099</v>
      </c>
      <c r="J153" s="2">
        <v>2</v>
      </c>
      <c r="K153" t="str">
        <f>_xlfn.IFNA(VLOOKUP(TRIM(E153),Doctor_Directory!$A$2:$D$31,2,FALSE),"No name")</f>
        <v>Dr. Damilola Chidozie</v>
      </c>
      <c r="L153" t="str">
        <f>VLOOKUP(TRIM(D153),[1]Hospital_Details!$A$2:$D$16,2,FALSE)</f>
        <v>MC-ENU-01</v>
      </c>
      <c r="M153" t="str">
        <f>VLOOKUP(I153,Bill_Tier_Reference!$A$2:$B$5,2,TRUE)</f>
        <v>Tier 2 - Standard</v>
      </c>
      <c r="N153" t="str">
        <f>VLOOKUP(F153,Age_Bracket_Reference!$A$2:$B$6,2,TRUE)</f>
        <v>Young Adult</v>
      </c>
      <c r="O153" t="str">
        <f>VLOOKUP(C153,State_Coordinator!$A$2:$B$6,2,FALSE)</f>
        <v>Chidiebere Okoro</v>
      </c>
      <c r="P153" t="str">
        <f>VLOOKUP(L153,[2]Hospital_Details!$B$2:$D$16,3,FALSE)</f>
        <v>Gold</v>
      </c>
      <c r="Q153" t="str" cm="1">
        <f t="array" ref="Q153">_xlfn.IFS(ISNUMBER(SEARCH("TB", G153)),Protocol_Reference!$B$2, ISNUMBER(SEARCH("Malaria",G153)),Protocol_Reference!$B$3, ISNUMBER(SEARCH("Typhoid",G153)),Protocol_Reference!$B$4, ISNUMBER(SEARCH("Hypertension", G153,)),Protocol_Reference!$B$5, ISNUMBER(SEARCH("Diabetes", G153)),Protocol_Reference!$B$6, ISNUMBER(SEARCH("Cholera", G153)),Protocol_Reference!$B$7, ISNUMBER(SEARCH("Pneumonia", G153)),Protocol_Reference!$B$8, TRUE, "Out of scope/ Routine Care")</f>
        <v>Out of scope/ Routine Care</v>
      </c>
      <c r="R153" s="16">
        <f>IFERROR(VLOOKUP(E153,Doctor_Directory!$A$2:$D$31,4,FALSE),"Check Doctor Code")</f>
        <v>6000</v>
      </c>
      <c r="S153" s="6" cm="1">
        <f t="array" ref="S153">_xlfn.XLOOKUP(C153,Insurance_Reimbursement_Matrix!$A$2:$A$6,_xlfn.XLOOKUP(_xlfn.XLOOKUP(F153,Age_Bracket_Reference!$A$2:$A$6,Age_Bracket_Reference!$B$2:$B$6,,-1),Insurance_Reimbursement_Matrix!$B$1:$F$1,Insurance_Reimbursement_Matrix!$B$2:$F$6))</f>
        <v>0.69</v>
      </c>
    </row>
    <row r="154" spans="1:19" x14ac:dyDescent="0.25">
      <c r="A154" s="2" t="s">
        <v>475</v>
      </c>
      <c r="B154" s="2" t="s">
        <v>476</v>
      </c>
      <c r="C154" s="2" t="s">
        <v>12</v>
      </c>
      <c r="D154" s="2" t="s">
        <v>13</v>
      </c>
      <c r="E154" s="2" t="s">
        <v>93</v>
      </c>
      <c r="F154" s="2">
        <v>57</v>
      </c>
      <c r="G154" s="2" t="s">
        <v>81</v>
      </c>
      <c r="H154" s="2" t="s">
        <v>370</v>
      </c>
      <c r="I154" s="18">
        <v>120537</v>
      </c>
      <c r="J154" s="2">
        <v>5</v>
      </c>
      <c r="K154" t="str">
        <f>_xlfn.IFNA(VLOOKUP(TRIM(E154),Doctor_Directory!$A$2:$D$31,2,FALSE),"No name")</f>
        <v>Dr. Ngozi Umar</v>
      </c>
      <c r="L154" t="str">
        <f>VLOOKUP(TRIM(D154),[1]Hospital_Details!$A$2:$D$16,2,FALSE)</f>
        <v>MC-PHC-01</v>
      </c>
      <c r="M154" t="str">
        <f>VLOOKUP(I154,Bill_Tier_Reference!$A$2:$B$5,2,TRUE)</f>
        <v>Tier 3 - Premium</v>
      </c>
      <c r="N154" t="str">
        <f>VLOOKUP(F154,Age_Bracket_Reference!$A$2:$B$6,2,TRUE)</f>
        <v>Adult</v>
      </c>
      <c r="O154" t="str">
        <f>VLOOKUP(C154,State_Coordinator!$A$2:$B$6,2,FALSE)</f>
        <v>Ebiere Amadi</v>
      </c>
      <c r="P154" t="str">
        <f>VLOOKUP(L154,[2]Hospital_Details!$B$2:$D$16,3,FALSE)</f>
        <v>Bronze</v>
      </c>
      <c r="Q154" t="str" cm="1">
        <f t="array" ref="Q154">_xlfn.IFS(ISNUMBER(SEARCH("TB", G154)),Protocol_Reference!$B$2, ISNUMBER(SEARCH("Malaria",G154)),Protocol_Reference!$B$3, ISNUMBER(SEARCH("Typhoid",G154)),Protocol_Reference!$B$4, ISNUMBER(SEARCH("Hypertension", G154,)),Protocol_Reference!$B$5, ISNUMBER(SEARCH("Diabetes", G154)),Protocol_Reference!$B$6, ISNUMBER(SEARCH("Cholera", G154)),Protocol_Reference!$B$7, ISNUMBER(SEARCH("Pneumonia", G154)),Protocol_Reference!$B$8, TRUE, "Out of scope/ Routine Care")</f>
        <v>Directly Observed Treatment Short-course (DOTS) - 6 month regimen</v>
      </c>
      <c r="R154" s="16">
        <f>IFERROR(VLOOKUP(E154,Doctor_Directory!$A$2:$D$31,4,FALSE),"Check Doctor Code")</f>
        <v>9000</v>
      </c>
      <c r="S154" s="6" cm="1">
        <f t="array" ref="S154">_xlfn.XLOOKUP(C154,Insurance_Reimbursement_Matrix!$A$2:$A$6,_xlfn.XLOOKUP(_xlfn.XLOOKUP(F154,Age_Bracket_Reference!$A$2:$A$6,Age_Bracket_Reference!$B$2:$B$6,,-1),Insurance_Reimbursement_Matrix!$B$1:$F$1,Insurance_Reimbursement_Matrix!$B$2:$F$6))</f>
        <v>0.71</v>
      </c>
    </row>
    <row r="155" spans="1:19" x14ac:dyDescent="0.25">
      <c r="A155" s="2" t="s">
        <v>477</v>
      </c>
      <c r="B155" s="2" t="s">
        <v>478</v>
      </c>
      <c r="C155" s="2" t="s">
        <v>26</v>
      </c>
      <c r="D155" s="2" t="s">
        <v>27</v>
      </c>
      <c r="E155" s="2" t="s">
        <v>39</v>
      </c>
      <c r="F155" s="2">
        <v>16</v>
      </c>
      <c r="G155" s="2" t="s">
        <v>129</v>
      </c>
      <c r="H155" s="2" t="s">
        <v>305</v>
      </c>
      <c r="I155" s="18">
        <v>139752</v>
      </c>
      <c r="J155" s="2">
        <v>9</v>
      </c>
      <c r="K155" t="str">
        <f>_xlfn.IFNA(VLOOKUP(TRIM(E155),Doctor_Directory!$A$2:$D$31,2,FALSE),"No name")</f>
        <v>Dr. Blessing Obi</v>
      </c>
      <c r="L155" t="str">
        <f>VLOOKUP(TRIM(D155),[1]Hospital_Details!$A$2:$D$16,2,FALSE)</f>
        <v>MC-KAN-03</v>
      </c>
      <c r="M155" t="str">
        <f>VLOOKUP(I155,Bill_Tier_Reference!$A$2:$B$5,2,TRUE)</f>
        <v>Tier 3 - Premium</v>
      </c>
      <c r="N155" t="str">
        <f>VLOOKUP(F155,Age_Bracket_Reference!$A$2:$B$6,2,TRUE)</f>
        <v>Teen</v>
      </c>
      <c r="O155" t="str">
        <f>VLOOKUP(C155,State_Coordinator!$A$2:$B$6,2,FALSE)</f>
        <v>Hauwa Mustapha</v>
      </c>
      <c r="P155" t="str">
        <f>VLOOKUP(L155,[2]Hospital_Details!$B$2:$D$16,3,FALSE)</f>
        <v>Platinum</v>
      </c>
      <c r="Q155" t="str" cm="1">
        <f t="array" ref="Q155">_xlfn.IFS(ISNUMBER(SEARCH("TB", G155)),Protocol_Reference!$B$2, ISNUMBER(SEARCH("Malaria",G155)),Protocol_Reference!$B$3, ISNUMBER(SEARCH("Typhoid",G155)),Protocol_Reference!$B$4, ISNUMBER(SEARCH("Hypertension", G155,)),Protocol_Reference!$B$5, ISNUMBER(SEARCH("Diabetes", G155)),Protocol_Reference!$B$6, ISNUMBER(SEARCH("Cholera", G155)),Protocol_Reference!$B$7, ISNUMBER(SEARCH("Pneumonia", G155)),Protocol_Reference!$B$8, TRUE, "Out of scope/ Routine Care")</f>
        <v>Artemisinin-based Combination Therapy (ACT) - 3-day course</v>
      </c>
      <c r="R155" s="16">
        <f>IFERROR(VLOOKUP(E155,Doctor_Directory!$A$2:$D$31,4,FALSE),"Check Doctor Code")</f>
        <v>3500</v>
      </c>
      <c r="S155" s="6" cm="1">
        <f t="array" ref="S155">_xlfn.XLOOKUP(C155,Insurance_Reimbursement_Matrix!$A$2:$A$6,_xlfn.XLOOKUP(_xlfn.XLOOKUP(F155,Age_Bracket_Reference!$A$2:$A$6,Age_Bracket_Reference!$B$2:$B$6,,-1),Insurance_Reimbursement_Matrix!$B$1:$F$1,Insurance_Reimbursement_Matrix!$B$2:$F$6))</f>
        <v>0.71</v>
      </c>
    </row>
    <row r="156" spans="1:19" x14ac:dyDescent="0.25">
      <c r="A156" s="2" t="s">
        <v>479</v>
      </c>
      <c r="B156" s="2" t="s">
        <v>480</v>
      </c>
      <c r="C156" s="2" t="s">
        <v>12</v>
      </c>
      <c r="D156" s="2" t="s">
        <v>217</v>
      </c>
      <c r="E156" s="2" t="s">
        <v>52</v>
      </c>
      <c r="F156" s="2">
        <v>79</v>
      </c>
      <c r="G156" s="2" t="s">
        <v>81</v>
      </c>
      <c r="H156" s="2" t="s">
        <v>234</v>
      </c>
      <c r="I156" s="18">
        <v>450958</v>
      </c>
      <c r="J156" s="2">
        <v>13</v>
      </c>
      <c r="K156" t="str">
        <f>_xlfn.IFNA(VLOOKUP(TRIM(E156),Doctor_Directory!$A$2:$D$31,2,FALSE),"No name")</f>
        <v>No name</v>
      </c>
      <c r="L156" t="str">
        <f>VLOOKUP(TRIM(D156),[1]Hospital_Details!$A$2:$D$16,2,FALSE)</f>
        <v>MC-PHC-03</v>
      </c>
      <c r="M156" t="str">
        <f>VLOOKUP(I156,Bill_Tier_Reference!$A$2:$B$5,2,TRUE)</f>
        <v>Tier 4 - Elite</v>
      </c>
      <c r="N156" t="str">
        <f>VLOOKUP(F156,Age_Bracket_Reference!$A$2:$B$6,2,TRUE)</f>
        <v>Senior</v>
      </c>
      <c r="O156" t="str">
        <f>VLOOKUP(C156,State_Coordinator!$A$2:$B$6,2,FALSE)</f>
        <v>Ebiere Amadi</v>
      </c>
      <c r="P156" t="str">
        <f>VLOOKUP(L156,[2]Hospital_Details!$B$2:$D$16,3,FALSE)</f>
        <v>Platinum</v>
      </c>
      <c r="Q156" t="str" cm="1">
        <f t="array" ref="Q156">_xlfn.IFS(ISNUMBER(SEARCH("TB", G156)),Protocol_Reference!$B$2, ISNUMBER(SEARCH("Malaria",G156)),Protocol_Reference!$B$3, ISNUMBER(SEARCH("Typhoid",G156)),Protocol_Reference!$B$4, ISNUMBER(SEARCH("Hypertension", G156,)),Protocol_Reference!$B$5, ISNUMBER(SEARCH("Diabetes", G156)),Protocol_Reference!$B$6, ISNUMBER(SEARCH("Cholera", G156)),Protocol_Reference!$B$7, ISNUMBER(SEARCH("Pneumonia", G156)),Protocol_Reference!$B$8, TRUE, "Out of scope/ Routine Care")</f>
        <v>Directly Observed Treatment Short-course (DOTS) - 6 month regimen</v>
      </c>
      <c r="R156" s="16" t="str">
        <f>IFERROR(VLOOKUP(E156,Doctor_Directory!$A$2:$D$31,4,FALSE),"Check Doctor Code")</f>
        <v>Check Doctor Code</v>
      </c>
      <c r="S156" s="6" cm="1">
        <f t="array" ref="S156">_xlfn.XLOOKUP(C156,Insurance_Reimbursement_Matrix!$A$2:$A$6,_xlfn.XLOOKUP(_xlfn.XLOOKUP(F156,Age_Bracket_Reference!$A$2:$A$6,Age_Bracket_Reference!$B$2:$B$6,,-1),Insurance_Reimbursement_Matrix!$B$1:$F$1,Insurance_Reimbursement_Matrix!$B$2:$F$6))</f>
        <v>0.79</v>
      </c>
    </row>
    <row r="157" spans="1:19" x14ac:dyDescent="0.25">
      <c r="A157" s="2" t="s">
        <v>481</v>
      </c>
      <c r="B157" s="2" t="s">
        <v>482</v>
      </c>
      <c r="C157" s="2" t="s">
        <v>19</v>
      </c>
      <c r="D157" s="2" t="s">
        <v>20</v>
      </c>
      <c r="E157" s="2" t="s">
        <v>120</v>
      </c>
      <c r="F157" s="2">
        <v>83</v>
      </c>
      <c r="G157" s="2" t="s">
        <v>81</v>
      </c>
      <c r="H157" s="2" t="s">
        <v>275</v>
      </c>
      <c r="I157" s="18">
        <v>64571</v>
      </c>
      <c r="J157" s="2">
        <v>14</v>
      </c>
      <c r="K157" t="str">
        <f>_xlfn.IFNA(VLOOKUP(TRIM(E157),Doctor_Directory!$A$2:$D$31,2,FALSE),"No name")</f>
        <v>Dr. Adaugo Fashola</v>
      </c>
      <c r="L157" t="str">
        <f>VLOOKUP(TRIM(D157),[1]Hospital_Details!$A$2:$D$16,2,FALSE)</f>
        <v>MC-LAG-01</v>
      </c>
      <c r="M157" t="str">
        <f>VLOOKUP(I157,Bill_Tier_Reference!$A$2:$B$5,2,TRUE)</f>
        <v>Tier 2 - Standard</v>
      </c>
      <c r="N157" t="str">
        <f>VLOOKUP(F157,Age_Bracket_Reference!$A$2:$B$6,2,TRUE)</f>
        <v>Senior</v>
      </c>
      <c r="O157" t="str">
        <f>VLOOKUP(C157,State_Coordinator!$A$2:$B$6,2,FALSE)</f>
        <v>Funmilayo Adebayo</v>
      </c>
      <c r="P157" t="str">
        <f>VLOOKUP(L157,[2]Hospital_Details!$B$2:$D$16,3,FALSE)</f>
        <v>Platinum</v>
      </c>
      <c r="Q157" t="str" cm="1">
        <f t="array" ref="Q157">_xlfn.IFS(ISNUMBER(SEARCH("TB", G157)),Protocol_Reference!$B$2, ISNUMBER(SEARCH("Malaria",G157)),Protocol_Reference!$B$3, ISNUMBER(SEARCH("Typhoid",G157)),Protocol_Reference!$B$4, ISNUMBER(SEARCH("Hypertension", G157,)),Protocol_Reference!$B$5, ISNUMBER(SEARCH("Diabetes", G157)),Protocol_Reference!$B$6, ISNUMBER(SEARCH("Cholera", G157)),Protocol_Reference!$B$7, ISNUMBER(SEARCH("Pneumonia", G157)),Protocol_Reference!$B$8, TRUE, "Out of scope/ Routine Care")</f>
        <v>Directly Observed Treatment Short-course (DOTS) - 6 month regimen</v>
      </c>
      <c r="R157" s="16">
        <f>IFERROR(VLOOKUP(E157,Doctor_Directory!$A$2:$D$31,4,FALSE),"Check Doctor Code")</f>
        <v>4000</v>
      </c>
      <c r="S157" s="6" cm="1">
        <f t="array" ref="S157">_xlfn.XLOOKUP(C157,Insurance_Reimbursement_Matrix!$A$2:$A$6,_xlfn.XLOOKUP(_xlfn.XLOOKUP(F157,Age_Bracket_Reference!$A$2:$A$6,Age_Bracket_Reference!$B$2:$B$6,,-1),Insurance_Reimbursement_Matrix!$B$1:$F$1,Insurance_Reimbursement_Matrix!$B$2:$F$6))</f>
        <v>0.8</v>
      </c>
    </row>
    <row r="158" spans="1:19" x14ac:dyDescent="0.25">
      <c r="A158" s="2" t="s">
        <v>483</v>
      </c>
      <c r="B158" s="2" t="s">
        <v>484</v>
      </c>
      <c r="C158" s="2" t="s">
        <v>37</v>
      </c>
      <c r="D158" s="2" t="s">
        <v>79</v>
      </c>
      <c r="E158" s="2" t="s">
        <v>58</v>
      </c>
      <c r="F158" s="2">
        <v>17</v>
      </c>
      <c r="G158" s="2" t="s">
        <v>156</v>
      </c>
      <c r="H158" s="2" t="s">
        <v>201</v>
      </c>
      <c r="I158" s="18">
        <v>74486</v>
      </c>
      <c r="J158" s="2">
        <v>5</v>
      </c>
      <c r="K158" t="str">
        <f>_xlfn.IFNA(VLOOKUP(TRIM(E158),Doctor_Directory!$A$2:$D$31,2,FALSE),"No name")</f>
        <v>Dr. Damilola Chidozie</v>
      </c>
      <c r="L158" t="str">
        <f>VLOOKUP(TRIM(D158),[1]Hospital_Details!$A$2:$D$16,2,FALSE)</f>
        <v>MC-ENU-01</v>
      </c>
      <c r="M158" t="str">
        <f>VLOOKUP(I158,Bill_Tier_Reference!$A$2:$B$5,2,TRUE)</f>
        <v>Tier 2 - Standard</v>
      </c>
      <c r="N158" t="str">
        <f>VLOOKUP(F158,Age_Bracket_Reference!$A$2:$B$6,2,TRUE)</f>
        <v>Teen</v>
      </c>
      <c r="O158" t="str">
        <f>VLOOKUP(C158,State_Coordinator!$A$2:$B$6,2,FALSE)</f>
        <v>Chidiebere Okoro</v>
      </c>
      <c r="P158" t="str">
        <f>VLOOKUP(L158,[2]Hospital_Details!$B$2:$D$16,3,FALSE)</f>
        <v>Gold</v>
      </c>
      <c r="Q158" t="str" cm="1">
        <f t="array" ref="Q158">_xlfn.IFS(ISNUMBER(SEARCH("TB", G158)),Protocol_Reference!$B$2, ISNUMBER(SEARCH("Malaria",G158)),Protocol_Reference!$B$3, ISNUMBER(SEARCH("Typhoid",G158)),Protocol_Reference!$B$4, ISNUMBER(SEARCH("Hypertension", G158,)),Protocol_Reference!$B$5, ISNUMBER(SEARCH("Diabetes", G158)),Protocol_Reference!$B$6, ISNUMBER(SEARCH("Cholera", G158)),Protocol_Reference!$B$7, ISNUMBER(SEARCH("Pneumonia", G158)),Protocol_Reference!$B$8, TRUE, "Out of scope/ Routine Care")</f>
        <v>Metformin 500mg twice daily + dietary counselling</v>
      </c>
      <c r="R158" s="16">
        <f>IFERROR(VLOOKUP(E158,Doctor_Directory!$A$2:$D$31,4,FALSE),"Check Doctor Code")</f>
        <v>6000</v>
      </c>
      <c r="S158" s="6" cm="1">
        <f t="array" ref="S158">_xlfn.XLOOKUP(C158,Insurance_Reimbursement_Matrix!$A$2:$A$6,_xlfn.XLOOKUP(_xlfn.XLOOKUP(F158,Age_Bracket_Reference!$A$2:$A$6,Age_Bracket_Reference!$B$2:$B$6,,-1),Insurance_Reimbursement_Matrix!$B$1:$F$1,Insurance_Reimbursement_Matrix!$B$2:$F$6))</f>
        <v>0.7</v>
      </c>
    </row>
    <row r="159" spans="1:19" x14ac:dyDescent="0.25">
      <c r="A159" s="2" t="s">
        <v>485</v>
      </c>
      <c r="B159" s="2" t="s">
        <v>486</v>
      </c>
      <c r="C159" s="2" t="s">
        <v>26</v>
      </c>
      <c r="D159" s="2" t="s">
        <v>27</v>
      </c>
      <c r="E159" s="2" t="s">
        <v>39</v>
      </c>
      <c r="F159" s="2">
        <v>45</v>
      </c>
      <c r="G159" s="2" t="s">
        <v>70</v>
      </c>
      <c r="H159" s="2" t="s">
        <v>294</v>
      </c>
      <c r="I159" s="18">
        <v>36423</v>
      </c>
      <c r="J159" s="2">
        <v>11</v>
      </c>
      <c r="K159" t="str">
        <f>_xlfn.IFNA(VLOOKUP(TRIM(E159),Doctor_Directory!$A$2:$D$31,2,FALSE),"No name")</f>
        <v>Dr. Blessing Obi</v>
      </c>
      <c r="L159" t="str">
        <f>VLOOKUP(TRIM(D159),[1]Hospital_Details!$A$2:$D$16,2,FALSE)</f>
        <v>MC-KAN-03</v>
      </c>
      <c r="M159" t="str">
        <f>VLOOKUP(I159,Bill_Tier_Reference!$A$2:$B$5,2,TRUE)</f>
        <v>Tier 2 - Standard</v>
      </c>
      <c r="N159" t="str">
        <f>VLOOKUP(F159,Age_Bracket_Reference!$A$2:$B$6,2,TRUE)</f>
        <v>Adult</v>
      </c>
      <c r="O159" t="str">
        <f>VLOOKUP(C159,State_Coordinator!$A$2:$B$6,2,FALSE)</f>
        <v>Hauwa Mustapha</v>
      </c>
      <c r="P159" t="str">
        <f>VLOOKUP(L159,[2]Hospital_Details!$B$2:$D$16,3,FALSE)</f>
        <v>Platinum</v>
      </c>
      <c r="Q159" t="str" cm="1">
        <f t="array" ref="Q159">_xlfn.IFS(ISNUMBER(SEARCH("TB", G159)),Protocol_Reference!$B$2, ISNUMBER(SEARCH("Malaria",G159)),Protocol_Reference!$B$3, ISNUMBER(SEARCH("Typhoid",G159)),Protocol_Reference!$B$4, ISNUMBER(SEARCH("Hypertension", G159,)),Protocol_Reference!$B$5, ISNUMBER(SEARCH("Diabetes", G159)),Protocol_Reference!$B$6, ISNUMBER(SEARCH("Cholera", G159)),Protocol_Reference!$B$7, ISNUMBER(SEARCH("Pneumonia", G159)),Protocol_Reference!$B$8, TRUE, "Out of scope/ Routine Care")</f>
        <v>Amoxicillin-Clavulanate 625mg three times daily for 7 days</v>
      </c>
      <c r="R159" s="16">
        <f>IFERROR(VLOOKUP(E159,Doctor_Directory!$A$2:$D$31,4,FALSE),"Check Doctor Code")</f>
        <v>3500</v>
      </c>
      <c r="S159" s="6" cm="1">
        <f t="array" ref="S159">_xlfn.XLOOKUP(C159,Insurance_Reimbursement_Matrix!$A$2:$A$6,_xlfn.XLOOKUP(_xlfn.XLOOKUP(F159,Age_Bracket_Reference!$A$2:$A$6,Age_Bracket_Reference!$B$2:$B$6,,-1),Insurance_Reimbursement_Matrix!$B$1:$F$1,Insurance_Reimbursement_Matrix!$B$2:$F$6))</f>
        <v>0.73</v>
      </c>
    </row>
    <row r="160" spans="1:19" x14ac:dyDescent="0.25">
      <c r="A160" s="2" t="s">
        <v>487</v>
      </c>
      <c r="B160" s="2" t="s">
        <v>488</v>
      </c>
      <c r="C160" s="2" t="s">
        <v>37</v>
      </c>
      <c r="D160" s="2" t="s">
        <v>79</v>
      </c>
      <c r="E160" s="2" t="s">
        <v>198</v>
      </c>
      <c r="F160" s="2">
        <v>83</v>
      </c>
      <c r="G160" s="2" t="s">
        <v>329</v>
      </c>
      <c r="H160" s="2" t="s">
        <v>257</v>
      </c>
      <c r="I160" s="18">
        <v>8052</v>
      </c>
      <c r="J160" s="2">
        <v>14</v>
      </c>
      <c r="K160" t="str">
        <f>_xlfn.IFNA(VLOOKUP(TRIM(E160),Doctor_Directory!$A$2:$D$31,2,FALSE),"No name")</f>
        <v>Dr. Bukola Yakubu</v>
      </c>
      <c r="L160" t="str">
        <f>VLOOKUP(TRIM(D160),[1]Hospital_Details!$A$2:$D$16,2,FALSE)</f>
        <v>MC-ENU-01</v>
      </c>
      <c r="M160" t="str">
        <f>VLOOKUP(I160,Bill_Tier_Reference!$A$2:$B$5,2,TRUE)</f>
        <v>Tier 1 - Basic</v>
      </c>
      <c r="N160" t="str">
        <f>VLOOKUP(F160,Age_Bracket_Reference!$A$2:$B$6,2,TRUE)</f>
        <v>Senior</v>
      </c>
      <c r="O160" t="str">
        <f>VLOOKUP(C160,State_Coordinator!$A$2:$B$6,2,FALSE)</f>
        <v>Chidiebere Okoro</v>
      </c>
      <c r="P160" t="str">
        <f>VLOOKUP(L160,[2]Hospital_Details!$B$2:$D$16,3,FALSE)</f>
        <v>Gold</v>
      </c>
      <c r="Q160" t="str" cm="1">
        <f t="array" ref="Q160">_xlfn.IFS(ISNUMBER(SEARCH("TB", G160)),Protocol_Reference!$B$2, ISNUMBER(SEARCH("Malaria",G160)),Protocol_Reference!$B$3, ISNUMBER(SEARCH("Typhoid",G160)),Protocol_Reference!$B$4, ISNUMBER(SEARCH("Hypertension", G160,)),Protocol_Reference!$B$5, ISNUMBER(SEARCH("Diabetes", G160)),Protocol_Reference!$B$6, ISNUMBER(SEARCH("Cholera", G160)),Protocol_Reference!$B$7, ISNUMBER(SEARCH("Pneumonia", G160)),Protocol_Reference!$B$8, TRUE, "Out of scope/ Routine Care")</f>
        <v>Artemisinin-based Combination Therapy (ACT) - 3-day course</v>
      </c>
      <c r="R160" s="16">
        <f>IFERROR(VLOOKUP(E160,Doctor_Directory!$A$2:$D$31,4,FALSE),"Check Doctor Code")</f>
        <v>7500</v>
      </c>
      <c r="S160" s="6" cm="1">
        <f t="array" ref="S160">_xlfn.XLOOKUP(C160,Insurance_Reimbursement_Matrix!$A$2:$A$6,_xlfn.XLOOKUP(_xlfn.XLOOKUP(F160,Age_Bracket_Reference!$A$2:$A$6,Age_Bracket_Reference!$B$2:$B$6,,-1),Insurance_Reimbursement_Matrix!$B$1:$F$1,Insurance_Reimbursement_Matrix!$B$2:$F$6))</f>
        <v>0.76</v>
      </c>
    </row>
    <row r="161" spans="1:19" x14ac:dyDescent="0.25">
      <c r="A161" s="2" t="s">
        <v>489</v>
      </c>
      <c r="B161" s="2" t="s">
        <v>249</v>
      </c>
      <c r="C161" s="2" t="s">
        <v>19</v>
      </c>
      <c r="D161" s="2" t="s">
        <v>102</v>
      </c>
      <c r="E161" s="2" t="s">
        <v>58</v>
      </c>
      <c r="F161" s="2">
        <v>74</v>
      </c>
      <c r="G161" s="2" t="s">
        <v>15</v>
      </c>
      <c r="H161" s="2" t="s">
        <v>316</v>
      </c>
      <c r="I161" s="18">
        <v>9907</v>
      </c>
      <c r="J161" s="2">
        <v>8</v>
      </c>
      <c r="K161" t="str">
        <f>_xlfn.IFNA(VLOOKUP(TRIM(E161),Doctor_Directory!$A$2:$D$31,2,FALSE),"No name")</f>
        <v>Dr. Damilola Chidozie</v>
      </c>
      <c r="L161" t="str">
        <f>VLOOKUP(TRIM(D161),[1]Hospital_Details!$A$2:$D$16,2,FALSE)</f>
        <v>MC-LAG-03</v>
      </c>
      <c r="M161" t="str">
        <f>VLOOKUP(I161,Bill_Tier_Reference!$A$2:$B$5,2,TRUE)</f>
        <v>Tier 1 - Basic</v>
      </c>
      <c r="N161" t="str">
        <f>VLOOKUP(F161,Age_Bracket_Reference!$A$2:$B$6,2,TRUE)</f>
        <v>Senior</v>
      </c>
      <c r="O161" t="str">
        <f>VLOOKUP(C161,State_Coordinator!$A$2:$B$6,2,FALSE)</f>
        <v>Funmilayo Adebayo</v>
      </c>
      <c r="P161" t="str">
        <f>VLOOKUP(L161,[2]Hospital_Details!$B$2:$D$16,3,FALSE)</f>
        <v>Bronze</v>
      </c>
      <c r="Q161" t="str" cm="1">
        <f t="array" ref="Q161">_xlfn.IFS(ISNUMBER(SEARCH("TB", G161)),Protocol_Reference!$B$2, ISNUMBER(SEARCH("Malaria",G161)),Protocol_Reference!$B$3, ISNUMBER(SEARCH("Typhoid",G161)),Protocol_Reference!$B$4, ISNUMBER(SEARCH("Hypertension", G161,)),Protocol_Reference!$B$5, ISNUMBER(SEARCH("Diabetes", G161)),Protocol_Reference!$B$6, ISNUMBER(SEARCH("Cholera", G161)),Protocol_Reference!$B$7, ISNUMBER(SEARCH("Pneumonia", G161)),Protocol_Reference!$B$8, TRUE, "Out of scope/ Routine Care")</f>
        <v>Ciprofloxacin 500mg twice daily for 7-10 days</v>
      </c>
      <c r="R161" s="16">
        <f>IFERROR(VLOOKUP(E161,Doctor_Directory!$A$2:$D$31,4,FALSE),"Check Doctor Code")</f>
        <v>6000</v>
      </c>
      <c r="S161" s="6" cm="1">
        <f t="array" ref="S161">_xlfn.XLOOKUP(C161,Insurance_Reimbursement_Matrix!$A$2:$A$6,_xlfn.XLOOKUP(_xlfn.XLOOKUP(F161,Age_Bracket_Reference!$A$2:$A$6,Age_Bracket_Reference!$B$2:$B$6,,-1),Insurance_Reimbursement_Matrix!$B$1:$F$1,Insurance_Reimbursement_Matrix!$B$2:$F$6))</f>
        <v>0.8</v>
      </c>
    </row>
    <row r="162" spans="1:19" x14ac:dyDescent="0.25">
      <c r="A162" s="2" t="s">
        <v>490</v>
      </c>
      <c r="B162" s="2" t="s">
        <v>491</v>
      </c>
      <c r="C162" s="2" t="s">
        <v>26</v>
      </c>
      <c r="D162" s="2" t="s">
        <v>27</v>
      </c>
      <c r="E162" s="2" t="s">
        <v>116</v>
      </c>
      <c r="F162" s="2">
        <v>62</v>
      </c>
      <c r="G162" s="2" t="s">
        <v>240</v>
      </c>
      <c r="H162" s="2" t="s">
        <v>370</v>
      </c>
      <c r="I162" s="18">
        <v>16306</v>
      </c>
      <c r="J162" s="2">
        <v>3</v>
      </c>
      <c r="K162" t="str">
        <f>_xlfn.IFNA(VLOOKUP(TRIM(E162),Doctor_Directory!$A$2:$D$31,2,FALSE),"No name")</f>
        <v>Dr. Tunde Usman</v>
      </c>
      <c r="L162" t="str">
        <f>VLOOKUP(TRIM(D162),[1]Hospital_Details!$A$2:$D$16,2,FALSE)</f>
        <v>MC-KAN-03</v>
      </c>
      <c r="M162" t="str">
        <f>VLOOKUP(I162,Bill_Tier_Reference!$A$2:$B$5,2,TRUE)</f>
        <v>Tier 1 - Basic</v>
      </c>
      <c r="N162" t="str">
        <f>VLOOKUP(F162,Age_Bracket_Reference!$A$2:$B$6,2,TRUE)</f>
        <v>Senior</v>
      </c>
      <c r="O162" t="str">
        <f>VLOOKUP(C162,State_Coordinator!$A$2:$B$6,2,FALSE)</f>
        <v>Hauwa Mustapha</v>
      </c>
      <c r="P162" t="str">
        <f>VLOOKUP(L162,[2]Hospital_Details!$B$2:$D$16,3,FALSE)</f>
        <v>Platinum</v>
      </c>
      <c r="Q162" t="str" cm="1">
        <f t="array" ref="Q162">_xlfn.IFS(ISNUMBER(SEARCH("TB", G162)),Protocol_Reference!$B$2, ISNUMBER(SEARCH("Malaria",G162)),Protocol_Reference!$B$3, ISNUMBER(SEARCH("Typhoid",G162)),Protocol_Reference!$B$4, ISNUMBER(SEARCH("Hypertension", G162,)),Protocol_Reference!$B$5, ISNUMBER(SEARCH("Diabetes", G162)),Protocol_Reference!$B$6, ISNUMBER(SEARCH("Cholera", G162)),Protocol_Reference!$B$7, ISNUMBER(SEARCH("Pneumonia", G162)),Protocol_Reference!$B$8, TRUE, "Out of scope/ Routine Care")</f>
        <v>Artemisinin-based Combination Therapy (ACT) - 3-day course</v>
      </c>
      <c r="R162" s="16">
        <f>IFERROR(VLOOKUP(E162,Doctor_Directory!$A$2:$D$31,4,FALSE),"Check Doctor Code")</f>
        <v>10000</v>
      </c>
      <c r="S162" s="6" cm="1">
        <f t="array" ref="S162">_xlfn.XLOOKUP(C162,Insurance_Reimbursement_Matrix!$A$2:$A$6,_xlfn.XLOOKUP(_xlfn.XLOOKUP(F162,Age_Bracket_Reference!$A$2:$A$6,Age_Bracket_Reference!$B$2:$B$6,,-1),Insurance_Reimbursement_Matrix!$B$1:$F$1,Insurance_Reimbursement_Matrix!$B$2:$F$6))</f>
        <v>0.76</v>
      </c>
    </row>
    <row r="163" spans="1:19" x14ac:dyDescent="0.25">
      <c r="A163" s="2" t="s">
        <v>492</v>
      </c>
      <c r="B163" s="2" t="s">
        <v>493</v>
      </c>
      <c r="C163" s="2" t="s">
        <v>12</v>
      </c>
      <c r="D163" s="2" t="s">
        <v>33</v>
      </c>
      <c r="E163" s="2" t="s">
        <v>231</v>
      </c>
      <c r="F163" s="2">
        <v>44</v>
      </c>
      <c r="G163" s="2" t="s">
        <v>75</v>
      </c>
      <c r="H163" s="2" t="s">
        <v>387</v>
      </c>
      <c r="I163" s="18">
        <v>381073</v>
      </c>
      <c r="J163" s="2">
        <v>3</v>
      </c>
      <c r="K163" t="str">
        <f>_xlfn.IFNA(VLOOKUP(TRIM(E163),Doctor_Directory!$A$2:$D$31,2,FALSE),"No name")</f>
        <v>Dr. Bimpe Mohammed</v>
      </c>
      <c r="L163" t="str">
        <f>VLOOKUP(TRIM(D163),[1]Hospital_Details!$A$2:$D$16,2,FALSE)</f>
        <v>MC-PHC-02</v>
      </c>
      <c r="M163" t="str">
        <f>VLOOKUP(I163,Bill_Tier_Reference!$A$2:$B$5,2,TRUE)</f>
        <v>Tier 4 - Elite</v>
      </c>
      <c r="N163" t="str">
        <f>VLOOKUP(F163,Age_Bracket_Reference!$A$2:$B$6,2,TRUE)</f>
        <v>Adult</v>
      </c>
      <c r="O163" t="str">
        <f>VLOOKUP(C163,State_Coordinator!$A$2:$B$6,2,FALSE)</f>
        <v>Ebiere Amadi</v>
      </c>
      <c r="P163" t="str">
        <f>VLOOKUP(L163,[2]Hospital_Details!$B$2:$D$16,3,FALSE)</f>
        <v>Platinum</v>
      </c>
      <c r="Q163" t="str" cm="1">
        <f t="array" ref="Q163">_xlfn.IFS(ISNUMBER(SEARCH("TB", G163)),Protocol_Reference!$B$2, ISNUMBER(SEARCH("Malaria",G163)),Protocol_Reference!$B$3, ISNUMBER(SEARCH("Typhoid",G163)),Protocol_Reference!$B$4, ISNUMBER(SEARCH("Hypertension", G163,)),Protocol_Reference!$B$5, ISNUMBER(SEARCH("Diabetes", G163)),Protocol_Reference!$B$6, ISNUMBER(SEARCH("Cholera", G163)),Protocol_Reference!$B$7, ISNUMBER(SEARCH("Pneumonia", G163)),Protocol_Reference!$B$8, TRUE, "Out of scope/ Routine Care")</f>
        <v>Directly Observed Treatment Short-course (DOTS) - 6 month regimen</v>
      </c>
      <c r="R163" s="16">
        <f>IFERROR(VLOOKUP(E163,Doctor_Directory!$A$2:$D$31,4,FALSE),"Check Doctor Code")</f>
        <v>4000</v>
      </c>
      <c r="S163" s="6" cm="1">
        <f t="array" ref="S163">_xlfn.XLOOKUP(C163,Insurance_Reimbursement_Matrix!$A$2:$A$6,_xlfn.XLOOKUP(_xlfn.XLOOKUP(F163,Age_Bracket_Reference!$A$2:$A$6,Age_Bracket_Reference!$B$2:$B$6,,-1),Insurance_Reimbursement_Matrix!$B$1:$F$1,Insurance_Reimbursement_Matrix!$B$2:$F$6))</f>
        <v>0.71</v>
      </c>
    </row>
    <row r="164" spans="1:19" x14ac:dyDescent="0.25">
      <c r="A164" s="2" t="s">
        <v>494</v>
      </c>
      <c r="B164" s="2" t="s">
        <v>495</v>
      </c>
      <c r="C164" s="2" t="s">
        <v>37</v>
      </c>
      <c r="D164" s="2" t="s">
        <v>38</v>
      </c>
      <c r="E164" s="2" t="s">
        <v>378</v>
      </c>
      <c r="F164" s="2">
        <v>41</v>
      </c>
      <c r="G164" s="2" t="s">
        <v>240</v>
      </c>
      <c r="H164" s="2" t="s">
        <v>107</v>
      </c>
      <c r="I164" s="18">
        <v>37529</v>
      </c>
      <c r="J164" s="2">
        <v>2</v>
      </c>
      <c r="K164" t="str">
        <f>_xlfn.IFNA(VLOOKUP(TRIM(E164),Doctor_Directory!$A$2:$D$31,2,FALSE),"No name")</f>
        <v>Dr. Chukwuemeka Chidozie</v>
      </c>
      <c r="L164" t="str">
        <f>VLOOKUP(TRIM(D164),[1]Hospital_Details!$A$2:$D$16,2,FALSE)</f>
        <v>MC-ENU-03</v>
      </c>
      <c r="M164" t="str">
        <f>VLOOKUP(I164,Bill_Tier_Reference!$A$2:$B$5,2,TRUE)</f>
        <v>Tier 2 - Standard</v>
      </c>
      <c r="N164" t="str">
        <f>VLOOKUP(F164,Age_Bracket_Reference!$A$2:$B$6,2,TRUE)</f>
        <v>Adult</v>
      </c>
      <c r="O164" t="str">
        <f>VLOOKUP(C164,State_Coordinator!$A$2:$B$6,2,FALSE)</f>
        <v>Chidiebere Okoro</v>
      </c>
      <c r="P164" t="str">
        <f>VLOOKUP(L164,[2]Hospital_Details!$B$2:$D$16,3,FALSE)</f>
        <v>Gold</v>
      </c>
      <c r="Q164" t="str" cm="1">
        <f t="array" ref="Q164">_xlfn.IFS(ISNUMBER(SEARCH("TB", G164)),Protocol_Reference!$B$2, ISNUMBER(SEARCH("Malaria",G164)),Protocol_Reference!$B$3, ISNUMBER(SEARCH("Typhoid",G164)),Protocol_Reference!$B$4, ISNUMBER(SEARCH("Hypertension", G164,)),Protocol_Reference!$B$5, ISNUMBER(SEARCH("Diabetes", G164)),Protocol_Reference!$B$6, ISNUMBER(SEARCH("Cholera", G164)),Protocol_Reference!$B$7, ISNUMBER(SEARCH("Pneumonia", G164)),Protocol_Reference!$B$8, TRUE, "Out of scope/ Routine Care")</f>
        <v>Artemisinin-based Combination Therapy (ACT) - 3-day course</v>
      </c>
      <c r="R164" s="16">
        <f>IFERROR(VLOOKUP(E164,Doctor_Directory!$A$2:$D$31,4,FALSE),"Check Doctor Code")</f>
        <v>3500</v>
      </c>
      <c r="S164" s="6" cm="1">
        <f t="array" ref="S164">_xlfn.XLOOKUP(C164,Insurance_Reimbursement_Matrix!$A$2:$A$6,_xlfn.XLOOKUP(_xlfn.XLOOKUP(F164,Age_Bracket_Reference!$A$2:$A$6,Age_Bracket_Reference!$B$2:$B$6,,-1),Insurance_Reimbursement_Matrix!$B$1:$F$1,Insurance_Reimbursement_Matrix!$B$2:$F$6))</f>
        <v>0.68</v>
      </c>
    </row>
    <row r="165" spans="1:19" x14ac:dyDescent="0.25">
      <c r="A165" s="2" t="s">
        <v>496</v>
      </c>
      <c r="B165" s="2" t="s">
        <v>497</v>
      </c>
      <c r="C165" s="2" t="s">
        <v>12</v>
      </c>
      <c r="D165" s="2" t="s">
        <v>63</v>
      </c>
      <c r="E165" s="2" t="s">
        <v>39</v>
      </c>
      <c r="F165" s="2">
        <v>21</v>
      </c>
      <c r="G165" s="2" t="s">
        <v>89</v>
      </c>
      <c r="H165" s="2" t="s">
        <v>287</v>
      </c>
      <c r="I165" s="18">
        <v>283541</v>
      </c>
      <c r="J165" s="2">
        <v>9</v>
      </c>
      <c r="K165" t="str">
        <f>_xlfn.IFNA(VLOOKUP(TRIM(E165),Doctor_Directory!$A$2:$D$31,2,FALSE),"No name")</f>
        <v>Dr. Blessing Obi</v>
      </c>
      <c r="L165" t="str">
        <f>VLOOKUP(TRIM(D165),[1]Hospital_Details!$A$2:$D$16,2,FALSE)</f>
        <v>MC-PHC-03</v>
      </c>
      <c r="M165" t="str">
        <f>VLOOKUP(I165,Bill_Tier_Reference!$A$2:$B$5,2,TRUE)</f>
        <v>Tier 4 - Elite</v>
      </c>
      <c r="N165" t="str">
        <f>VLOOKUP(F165,Age_Bracket_Reference!$A$2:$B$6,2,TRUE)</f>
        <v>Young Adult</v>
      </c>
      <c r="O165" t="str">
        <f>VLOOKUP(C165,State_Coordinator!$A$2:$B$6,2,FALSE)</f>
        <v>Ebiere Amadi</v>
      </c>
      <c r="P165" t="str">
        <f>VLOOKUP(L165,[2]Hospital_Details!$B$2:$D$16,3,FALSE)</f>
        <v>Platinum</v>
      </c>
      <c r="Q165" t="str" cm="1">
        <f t="array" ref="Q165">_xlfn.IFS(ISNUMBER(SEARCH("TB", G165)),Protocol_Reference!$B$2, ISNUMBER(SEARCH("Malaria",G165)),Protocol_Reference!$B$3, ISNUMBER(SEARCH("Typhoid",G165)),Protocol_Reference!$B$4, ISNUMBER(SEARCH("Hypertension", G165,)),Protocol_Reference!$B$5, ISNUMBER(SEARCH("Diabetes", G165)),Protocol_Reference!$B$6, ISNUMBER(SEARCH("Cholera", G165)),Protocol_Reference!$B$7, ISNUMBER(SEARCH("Pneumonia", G165)),Protocol_Reference!$B$8, TRUE, "Out of scope/ Routine Care")</f>
        <v>Out of scope/ Routine Care</v>
      </c>
      <c r="R165" s="16">
        <f>IFERROR(VLOOKUP(E165,Doctor_Directory!$A$2:$D$31,4,FALSE),"Check Doctor Code")</f>
        <v>3500</v>
      </c>
      <c r="S165" s="6" cm="1">
        <f t="array" ref="S165">_xlfn.XLOOKUP(C165,Insurance_Reimbursement_Matrix!$A$2:$A$6,_xlfn.XLOOKUP(_xlfn.XLOOKUP(F165,Age_Bracket_Reference!$A$2:$A$6,Age_Bracket_Reference!$B$2:$B$6,,-1),Insurance_Reimbursement_Matrix!$B$1:$F$1,Insurance_Reimbursement_Matrix!$B$2:$F$6))</f>
        <v>0.69</v>
      </c>
    </row>
    <row r="166" spans="1:19" x14ac:dyDescent="0.25">
      <c r="A166" s="2" t="s">
        <v>498</v>
      </c>
      <c r="B166" s="2" t="s">
        <v>499</v>
      </c>
      <c r="C166" s="2" t="s">
        <v>26</v>
      </c>
      <c r="D166" s="2" t="s">
        <v>115</v>
      </c>
      <c r="E166" s="2" t="s">
        <v>134</v>
      </c>
      <c r="F166" s="2">
        <v>12</v>
      </c>
      <c r="G166" s="2" t="s">
        <v>47</v>
      </c>
      <c r="H166" s="2" t="s">
        <v>201</v>
      </c>
      <c r="I166" s="18">
        <v>17982</v>
      </c>
      <c r="J166" s="2">
        <v>1</v>
      </c>
      <c r="K166" t="str">
        <f>_xlfn.IFNA(VLOOKUP(TRIM(E166),Doctor_Directory!$A$2:$D$31,2,FALSE),"No name")</f>
        <v>Dr. Damilola Abubakar</v>
      </c>
      <c r="L166" t="str">
        <f>VLOOKUP(TRIM(D166),[1]Hospital_Details!$A$2:$D$16,2,FALSE)</f>
        <v>MC-KAN-02</v>
      </c>
      <c r="M166" t="str">
        <f>VLOOKUP(I166,Bill_Tier_Reference!$A$2:$B$5,2,TRUE)</f>
        <v>Tier 1 - Basic</v>
      </c>
      <c r="N166" t="str">
        <f>VLOOKUP(F166,Age_Bracket_Reference!$A$2:$B$6,2,TRUE)</f>
        <v>Child</v>
      </c>
      <c r="O166" t="str">
        <f>VLOOKUP(C166,State_Coordinator!$A$2:$B$6,2,FALSE)</f>
        <v>Hauwa Mustapha</v>
      </c>
      <c r="P166" t="str">
        <f>VLOOKUP(L166,[2]Hospital_Details!$B$2:$D$16,3,FALSE)</f>
        <v>Bronze</v>
      </c>
      <c r="Q166" t="str" cm="1">
        <f t="array" ref="Q166">_xlfn.IFS(ISNUMBER(SEARCH("TB", G166)),Protocol_Reference!$B$2, ISNUMBER(SEARCH("Malaria",G166)),Protocol_Reference!$B$3, ISNUMBER(SEARCH("Typhoid",G166)),Protocol_Reference!$B$4, ISNUMBER(SEARCH("Hypertension", G166,)),Protocol_Reference!$B$5, ISNUMBER(SEARCH("Diabetes", G166)),Protocol_Reference!$B$6, ISNUMBER(SEARCH("Cholera", G166)),Protocol_Reference!$B$7, ISNUMBER(SEARCH("Pneumonia", G166)),Protocol_Reference!$B$8, TRUE, "Out of scope/ Routine Care")</f>
        <v>Metformin 500mg twice daily + dietary counselling</v>
      </c>
      <c r="R166" s="16">
        <f>IFERROR(VLOOKUP(E166,Doctor_Directory!$A$2:$D$31,4,FALSE),"Check Doctor Code")</f>
        <v>4000</v>
      </c>
      <c r="S166" s="6" cm="1">
        <f t="array" ref="S166">_xlfn.XLOOKUP(C166,Insurance_Reimbursement_Matrix!$A$2:$A$6,_xlfn.XLOOKUP(_xlfn.XLOOKUP(F166,Age_Bracket_Reference!$A$2:$A$6,Age_Bracket_Reference!$B$2:$B$6,,-1),Insurance_Reimbursement_Matrix!$B$1:$F$1,Insurance_Reimbursement_Matrix!$B$2:$F$6))</f>
        <v>0.81</v>
      </c>
    </row>
    <row r="167" spans="1:19" x14ac:dyDescent="0.25">
      <c r="A167" s="2" t="s">
        <v>500</v>
      </c>
      <c r="B167" s="2" t="s">
        <v>501</v>
      </c>
      <c r="C167" s="2" t="s">
        <v>37</v>
      </c>
      <c r="D167" s="2" t="s">
        <v>38</v>
      </c>
      <c r="E167" s="2" t="s">
        <v>180</v>
      </c>
      <c r="F167" s="2">
        <v>61</v>
      </c>
      <c r="G167" s="2" t="s">
        <v>253</v>
      </c>
      <c r="H167" s="2" t="s">
        <v>82</v>
      </c>
      <c r="I167" s="18">
        <v>131482</v>
      </c>
      <c r="J167" s="2">
        <v>12</v>
      </c>
      <c r="K167" t="str">
        <f>_xlfn.IFNA(VLOOKUP(TRIM(E167),Doctor_Directory!$A$2:$D$31,2,FALSE),"No name")</f>
        <v>Dr. Maryam Eneh</v>
      </c>
      <c r="L167" t="str">
        <f>VLOOKUP(TRIM(D167),[1]Hospital_Details!$A$2:$D$16,2,FALSE)</f>
        <v>MC-ENU-03</v>
      </c>
      <c r="M167" t="str">
        <f>VLOOKUP(I167,Bill_Tier_Reference!$A$2:$B$5,2,TRUE)</f>
        <v>Tier 3 - Premium</v>
      </c>
      <c r="N167" t="str">
        <f>VLOOKUP(F167,Age_Bracket_Reference!$A$2:$B$6,2,TRUE)</f>
        <v>Senior</v>
      </c>
      <c r="O167" t="str">
        <f>VLOOKUP(C167,State_Coordinator!$A$2:$B$6,2,FALSE)</f>
        <v>Chidiebere Okoro</v>
      </c>
      <c r="P167" t="str">
        <f>VLOOKUP(L167,[2]Hospital_Details!$B$2:$D$16,3,FALSE)</f>
        <v>Gold</v>
      </c>
      <c r="Q167" t="str" cm="1">
        <f t="array" ref="Q167">_xlfn.IFS(ISNUMBER(SEARCH("TB", G167)),Protocol_Reference!$B$2, ISNUMBER(SEARCH("Malaria",G167)),Protocol_Reference!$B$3, ISNUMBER(SEARCH("Typhoid",G167)),Protocol_Reference!$B$4, ISNUMBER(SEARCH("Hypertension", G167,)),Protocol_Reference!$B$5, ISNUMBER(SEARCH("Diabetes", G167)),Protocol_Reference!$B$6, ISNUMBER(SEARCH("Cholera", G167)),Protocol_Reference!$B$7, ISNUMBER(SEARCH("Pneumonia", G167)),Protocol_Reference!$B$8, TRUE, "Out of scope/ Routine Care")</f>
        <v>Artemisinin-based Combination Therapy (ACT) - 3-day course</v>
      </c>
      <c r="R167" s="16">
        <f>IFERROR(VLOOKUP(E167,Doctor_Directory!$A$2:$D$31,4,FALSE),"Check Doctor Code")</f>
        <v>10000</v>
      </c>
      <c r="S167" s="6" cm="1">
        <f t="array" ref="S167">_xlfn.XLOOKUP(C167,Insurance_Reimbursement_Matrix!$A$2:$A$6,_xlfn.XLOOKUP(_xlfn.XLOOKUP(F167,Age_Bracket_Reference!$A$2:$A$6,Age_Bracket_Reference!$B$2:$B$6,,-1),Insurance_Reimbursement_Matrix!$B$1:$F$1,Insurance_Reimbursement_Matrix!$B$2:$F$6))</f>
        <v>0.76</v>
      </c>
    </row>
    <row r="168" spans="1:19" x14ac:dyDescent="0.25">
      <c r="A168" s="2" t="s">
        <v>502</v>
      </c>
      <c r="B168" s="2" t="s">
        <v>503</v>
      </c>
      <c r="C168" s="2" t="s">
        <v>26</v>
      </c>
      <c r="D168" s="2" t="s">
        <v>150</v>
      </c>
      <c r="E168" s="2" t="s">
        <v>21</v>
      </c>
      <c r="F168" s="2">
        <v>7</v>
      </c>
      <c r="G168" s="2" t="s">
        <v>29</v>
      </c>
      <c r="H168" s="2" t="s">
        <v>54</v>
      </c>
      <c r="I168" s="18">
        <v>9378</v>
      </c>
      <c r="J168" s="2">
        <v>7</v>
      </c>
      <c r="K168" t="str">
        <f>_xlfn.IFNA(VLOOKUP(TRIM(E168),Doctor_Directory!$A$2:$D$31,2,FALSE),"No name")</f>
        <v>Dr. Amaka Nwosu</v>
      </c>
      <c r="L168" t="str">
        <f>VLOOKUP(TRIM(D168),[1]Hospital_Details!$A$2:$D$16,2,FALSE)</f>
        <v>MC-KAN-01</v>
      </c>
      <c r="M168" t="str">
        <f>VLOOKUP(I168,Bill_Tier_Reference!$A$2:$B$5,2,TRUE)</f>
        <v>Tier 1 - Basic</v>
      </c>
      <c r="N168" t="str">
        <f>VLOOKUP(F168,Age_Bracket_Reference!$A$2:$B$6,2,TRUE)</f>
        <v>Child</v>
      </c>
      <c r="O168" t="str">
        <f>VLOOKUP(C168,State_Coordinator!$A$2:$B$6,2,FALSE)</f>
        <v>Hauwa Mustapha</v>
      </c>
      <c r="P168" t="str">
        <f>VLOOKUP(L168,[2]Hospital_Details!$B$2:$D$16,3,FALSE)</f>
        <v>Silver</v>
      </c>
      <c r="Q168" t="str" cm="1">
        <f t="array" ref="Q168">_xlfn.IFS(ISNUMBER(SEARCH("TB", G168)),Protocol_Reference!$B$2, ISNUMBER(SEARCH("Malaria",G168)),Protocol_Reference!$B$3, ISNUMBER(SEARCH("Typhoid",G168)),Protocol_Reference!$B$4, ISNUMBER(SEARCH("Hypertension", G168,)),Protocol_Reference!$B$5, ISNUMBER(SEARCH("Diabetes", G168)),Protocol_Reference!$B$6, ISNUMBER(SEARCH("Cholera", G168)),Protocol_Reference!$B$7, ISNUMBER(SEARCH("Pneumonia", G168)),Protocol_Reference!$B$8, TRUE, "Out of scope/ Routine Care")</f>
        <v>Artemisinin-based Combination Therapy (ACT) - 3-day course</v>
      </c>
      <c r="R168" s="16">
        <f>IFERROR(VLOOKUP(E168,Doctor_Directory!$A$2:$D$31,4,FALSE),"Check Doctor Code")</f>
        <v>5500</v>
      </c>
      <c r="S168" s="6" cm="1">
        <f t="array" ref="S168">_xlfn.XLOOKUP(C168,Insurance_Reimbursement_Matrix!$A$2:$A$6,_xlfn.XLOOKUP(_xlfn.XLOOKUP(F168,Age_Bracket_Reference!$A$2:$A$6,Age_Bracket_Reference!$B$2:$B$6,,-1),Insurance_Reimbursement_Matrix!$B$1:$F$1,Insurance_Reimbursement_Matrix!$B$2:$F$6))</f>
        <v>0.81</v>
      </c>
    </row>
    <row r="169" spans="1:19" x14ac:dyDescent="0.25">
      <c r="A169" s="2" t="s">
        <v>504</v>
      </c>
      <c r="B169" s="2" t="s">
        <v>505</v>
      </c>
      <c r="C169" s="2" t="s">
        <v>37</v>
      </c>
      <c r="D169" s="2" t="s">
        <v>97</v>
      </c>
      <c r="E169" s="2" t="s">
        <v>167</v>
      </c>
      <c r="F169" s="2">
        <v>80</v>
      </c>
      <c r="G169" s="2" t="s">
        <v>65</v>
      </c>
      <c r="H169" s="2" t="s">
        <v>348</v>
      </c>
      <c r="I169" s="18">
        <v>87672</v>
      </c>
      <c r="J169" s="2">
        <v>13</v>
      </c>
      <c r="K169" t="str">
        <f>_xlfn.IFNA(VLOOKUP(TRIM(E169),Doctor_Directory!$A$2:$D$31,2,FALSE),"No name")</f>
        <v>Dr. Hadiza Eze</v>
      </c>
      <c r="L169" t="str">
        <f>VLOOKUP(TRIM(D169),[1]Hospital_Details!$A$2:$D$16,2,FALSE)</f>
        <v>MC-ENU-02</v>
      </c>
      <c r="M169" t="str">
        <f>VLOOKUP(I169,Bill_Tier_Reference!$A$2:$B$5,2,TRUE)</f>
        <v>Tier 3 - Premium</v>
      </c>
      <c r="N169" t="str">
        <f>VLOOKUP(F169,Age_Bracket_Reference!$A$2:$B$6,2,TRUE)</f>
        <v>Senior</v>
      </c>
      <c r="O169" t="str">
        <f>VLOOKUP(C169,State_Coordinator!$A$2:$B$6,2,FALSE)</f>
        <v>Chidiebere Okoro</v>
      </c>
      <c r="P169" t="str">
        <f>VLOOKUP(L169,[2]Hospital_Details!$B$2:$D$16,3,FALSE)</f>
        <v>Bronze</v>
      </c>
      <c r="Q169" t="str" cm="1">
        <f t="array" ref="Q169">_xlfn.IFS(ISNUMBER(SEARCH("TB", G169)),Protocol_Reference!$B$2, ISNUMBER(SEARCH("Malaria",G169)),Protocol_Reference!$B$3, ISNUMBER(SEARCH("Typhoid",G169)),Protocol_Reference!$B$4, ISNUMBER(SEARCH("Hypertension", G169,)),Protocol_Reference!$B$5, ISNUMBER(SEARCH("Diabetes", G169)),Protocol_Reference!$B$6, ISNUMBER(SEARCH("Cholera", G169)),Protocol_Reference!$B$7, ISNUMBER(SEARCH("Pneumonia", G169)),Protocol_Reference!$B$8, TRUE, "Out of scope/ Routine Care")</f>
        <v>Out of scope/ Routine Care</v>
      </c>
      <c r="R169" s="16">
        <f>IFERROR(VLOOKUP(E169,Doctor_Directory!$A$2:$D$31,4,FALSE),"Check Doctor Code")</f>
        <v>4500</v>
      </c>
      <c r="S169" s="6" cm="1">
        <f t="array" ref="S169">_xlfn.XLOOKUP(C169,Insurance_Reimbursement_Matrix!$A$2:$A$6,_xlfn.XLOOKUP(_xlfn.XLOOKUP(F169,Age_Bracket_Reference!$A$2:$A$6,Age_Bracket_Reference!$B$2:$B$6,,-1),Insurance_Reimbursement_Matrix!$B$1:$F$1,Insurance_Reimbursement_Matrix!$B$2:$F$6))</f>
        <v>0.76</v>
      </c>
    </row>
    <row r="170" spans="1:19" x14ac:dyDescent="0.25">
      <c r="A170" s="2" t="s">
        <v>506</v>
      </c>
      <c r="B170" s="2" t="s">
        <v>507</v>
      </c>
      <c r="C170" s="2" t="s">
        <v>26</v>
      </c>
      <c r="D170" s="2" t="s">
        <v>150</v>
      </c>
      <c r="E170" s="2" t="s">
        <v>231</v>
      </c>
      <c r="F170" s="2">
        <v>78</v>
      </c>
      <c r="G170" s="2" t="s">
        <v>70</v>
      </c>
      <c r="H170" s="2" t="s">
        <v>181</v>
      </c>
      <c r="I170" s="18">
        <v>22638</v>
      </c>
      <c r="J170" s="2">
        <v>12</v>
      </c>
      <c r="K170" t="str">
        <f>_xlfn.IFNA(VLOOKUP(TRIM(E170),Doctor_Directory!$A$2:$D$31,2,FALSE),"No name")</f>
        <v>Dr. Bimpe Mohammed</v>
      </c>
      <c r="L170" t="str">
        <f>VLOOKUP(TRIM(D170),[1]Hospital_Details!$A$2:$D$16,2,FALSE)</f>
        <v>MC-KAN-01</v>
      </c>
      <c r="M170" t="str">
        <f>VLOOKUP(I170,Bill_Tier_Reference!$A$2:$B$5,2,TRUE)</f>
        <v>Tier 2 - Standard</v>
      </c>
      <c r="N170" t="str">
        <f>VLOOKUP(F170,Age_Bracket_Reference!$A$2:$B$6,2,TRUE)</f>
        <v>Senior</v>
      </c>
      <c r="O170" t="str">
        <f>VLOOKUP(C170,State_Coordinator!$A$2:$B$6,2,FALSE)</f>
        <v>Hauwa Mustapha</v>
      </c>
      <c r="P170" t="str">
        <f>VLOOKUP(L170,[2]Hospital_Details!$B$2:$D$16,3,FALSE)</f>
        <v>Silver</v>
      </c>
      <c r="Q170" t="str" cm="1">
        <f t="array" ref="Q170">_xlfn.IFS(ISNUMBER(SEARCH("TB", G170)),Protocol_Reference!$B$2, ISNUMBER(SEARCH("Malaria",G170)),Protocol_Reference!$B$3, ISNUMBER(SEARCH("Typhoid",G170)),Protocol_Reference!$B$4, ISNUMBER(SEARCH("Hypertension", G170,)),Protocol_Reference!$B$5, ISNUMBER(SEARCH("Diabetes", G170)),Protocol_Reference!$B$6, ISNUMBER(SEARCH("Cholera", G170)),Protocol_Reference!$B$7, ISNUMBER(SEARCH("Pneumonia", G170)),Protocol_Reference!$B$8, TRUE, "Out of scope/ Routine Care")</f>
        <v>Amoxicillin-Clavulanate 625mg three times daily for 7 days</v>
      </c>
      <c r="R170" s="16">
        <f>IFERROR(VLOOKUP(E170,Doctor_Directory!$A$2:$D$31,4,FALSE),"Check Doctor Code")</f>
        <v>4000</v>
      </c>
      <c r="S170" s="6" cm="1">
        <f t="array" ref="S170">_xlfn.XLOOKUP(C170,Insurance_Reimbursement_Matrix!$A$2:$A$6,_xlfn.XLOOKUP(_xlfn.XLOOKUP(F170,Age_Bracket_Reference!$A$2:$A$6,Age_Bracket_Reference!$B$2:$B$6,,-1),Insurance_Reimbursement_Matrix!$B$1:$F$1,Insurance_Reimbursement_Matrix!$B$2:$F$6))</f>
        <v>0.76</v>
      </c>
    </row>
    <row r="171" spans="1:19" x14ac:dyDescent="0.25">
      <c r="A171" s="2" t="s">
        <v>508</v>
      </c>
      <c r="B171" s="2" t="s">
        <v>509</v>
      </c>
      <c r="C171" s="2" t="s">
        <v>37</v>
      </c>
      <c r="D171" s="2" t="s">
        <v>97</v>
      </c>
      <c r="E171" s="2" t="s">
        <v>373</v>
      </c>
      <c r="F171" s="2">
        <v>78</v>
      </c>
      <c r="G171" s="2" t="s">
        <v>70</v>
      </c>
      <c r="H171" s="2" t="s">
        <v>305</v>
      </c>
      <c r="I171" s="18">
        <v>285197</v>
      </c>
      <c r="J171" s="2">
        <v>10</v>
      </c>
      <c r="K171" t="str">
        <f>_xlfn.IFNA(VLOOKUP(TRIM(E171),Doctor_Directory!$A$2:$D$31,2,FALSE),"No name")</f>
        <v>Dr. Hadiza Suleiman</v>
      </c>
      <c r="L171" t="str">
        <f>VLOOKUP(TRIM(D171),[1]Hospital_Details!$A$2:$D$16,2,FALSE)</f>
        <v>MC-ENU-02</v>
      </c>
      <c r="M171" t="str">
        <f>VLOOKUP(I171,Bill_Tier_Reference!$A$2:$B$5,2,TRUE)</f>
        <v>Tier 4 - Elite</v>
      </c>
      <c r="N171" t="str">
        <f>VLOOKUP(F171,Age_Bracket_Reference!$A$2:$B$6,2,TRUE)</f>
        <v>Senior</v>
      </c>
      <c r="O171" t="str">
        <f>VLOOKUP(C171,State_Coordinator!$A$2:$B$6,2,FALSE)</f>
        <v>Chidiebere Okoro</v>
      </c>
      <c r="P171" t="str">
        <f>VLOOKUP(L171,[2]Hospital_Details!$B$2:$D$16,3,FALSE)</f>
        <v>Bronze</v>
      </c>
      <c r="Q171" t="str" cm="1">
        <f t="array" ref="Q171">_xlfn.IFS(ISNUMBER(SEARCH("TB", G171)),Protocol_Reference!$B$2, ISNUMBER(SEARCH("Malaria",G171)),Protocol_Reference!$B$3, ISNUMBER(SEARCH("Typhoid",G171)),Protocol_Reference!$B$4, ISNUMBER(SEARCH("Hypertension", G171,)),Protocol_Reference!$B$5, ISNUMBER(SEARCH("Diabetes", G171)),Protocol_Reference!$B$6, ISNUMBER(SEARCH("Cholera", G171)),Protocol_Reference!$B$7, ISNUMBER(SEARCH("Pneumonia", G171)),Protocol_Reference!$B$8, TRUE, "Out of scope/ Routine Care")</f>
        <v>Amoxicillin-Clavulanate 625mg three times daily for 7 days</v>
      </c>
      <c r="R171" s="16">
        <f>IFERROR(VLOOKUP(E171,Doctor_Directory!$A$2:$D$31,4,FALSE),"Check Doctor Code")</f>
        <v>6000</v>
      </c>
      <c r="S171" s="6" cm="1">
        <f t="array" ref="S171">_xlfn.XLOOKUP(C171,Insurance_Reimbursement_Matrix!$A$2:$A$6,_xlfn.XLOOKUP(_xlfn.XLOOKUP(F171,Age_Bracket_Reference!$A$2:$A$6,Age_Bracket_Reference!$B$2:$B$6,,-1),Insurance_Reimbursement_Matrix!$B$1:$F$1,Insurance_Reimbursement_Matrix!$B$2:$F$6))</f>
        <v>0.76</v>
      </c>
    </row>
    <row r="172" spans="1:19" x14ac:dyDescent="0.25">
      <c r="A172" s="2" t="s">
        <v>510</v>
      </c>
      <c r="B172" s="2" t="s">
        <v>511</v>
      </c>
      <c r="C172" s="2" t="s">
        <v>37</v>
      </c>
      <c r="D172" s="2" t="s">
        <v>97</v>
      </c>
      <c r="E172" s="2" t="s">
        <v>198</v>
      </c>
      <c r="F172" s="2">
        <v>66</v>
      </c>
      <c r="G172" s="2" t="s">
        <v>151</v>
      </c>
      <c r="H172" s="2" t="s">
        <v>291</v>
      </c>
      <c r="I172" s="18">
        <v>181921</v>
      </c>
      <c r="J172" s="2">
        <v>6</v>
      </c>
      <c r="K172" t="str">
        <f>_xlfn.IFNA(VLOOKUP(TRIM(E172),Doctor_Directory!$A$2:$D$31,2,FALSE),"No name")</f>
        <v>Dr. Bukola Yakubu</v>
      </c>
      <c r="L172" t="str">
        <f>VLOOKUP(TRIM(D172),[1]Hospital_Details!$A$2:$D$16,2,FALSE)</f>
        <v>MC-ENU-02</v>
      </c>
      <c r="M172" t="str">
        <f>VLOOKUP(I172,Bill_Tier_Reference!$A$2:$B$5,2,TRUE)</f>
        <v>Tier 3 - Premium</v>
      </c>
      <c r="N172" t="str">
        <f>VLOOKUP(F172,Age_Bracket_Reference!$A$2:$B$6,2,TRUE)</f>
        <v>Senior</v>
      </c>
      <c r="O172" t="str">
        <f>VLOOKUP(C172,State_Coordinator!$A$2:$B$6,2,FALSE)</f>
        <v>Chidiebere Okoro</v>
      </c>
      <c r="P172" t="str">
        <f>VLOOKUP(L172,[2]Hospital_Details!$B$2:$D$16,3,FALSE)</f>
        <v>Bronze</v>
      </c>
      <c r="Q172" t="str" cm="1">
        <f t="array" ref="Q172">_xlfn.IFS(ISNUMBER(SEARCH("TB", G172)),Protocol_Reference!$B$2, ISNUMBER(SEARCH("Malaria",G172)),Protocol_Reference!$B$3, ISNUMBER(SEARCH("Typhoid",G172)),Protocol_Reference!$B$4, ISNUMBER(SEARCH("Hypertension", G172,)),Protocol_Reference!$B$5, ISNUMBER(SEARCH("Diabetes", G172)),Protocol_Reference!$B$6, ISNUMBER(SEARCH("Cholera", G172)),Protocol_Reference!$B$7, ISNUMBER(SEARCH("Pneumonia", G172)),Protocol_Reference!$B$8, TRUE, "Out of scope/ Routine Care")</f>
        <v>Amoxicillin-Clavulanate 625mg three times daily for 7 days</v>
      </c>
      <c r="R172" s="16">
        <f>IFERROR(VLOOKUP(E172,Doctor_Directory!$A$2:$D$31,4,FALSE),"Check Doctor Code")</f>
        <v>7500</v>
      </c>
      <c r="S172" s="6" cm="1">
        <f t="array" ref="S172">_xlfn.XLOOKUP(C172,Insurance_Reimbursement_Matrix!$A$2:$A$6,_xlfn.XLOOKUP(_xlfn.XLOOKUP(F172,Age_Bracket_Reference!$A$2:$A$6,Age_Bracket_Reference!$B$2:$B$6,,-1),Insurance_Reimbursement_Matrix!$B$1:$F$1,Insurance_Reimbursement_Matrix!$B$2:$F$6))</f>
        <v>0.76</v>
      </c>
    </row>
    <row r="173" spans="1:19" x14ac:dyDescent="0.25">
      <c r="A173" s="2" t="s">
        <v>512</v>
      </c>
      <c r="B173" s="2" t="s">
        <v>513</v>
      </c>
      <c r="C173" s="2" t="s">
        <v>12</v>
      </c>
      <c r="D173" s="2" t="s">
        <v>217</v>
      </c>
      <c r="E173" s="2" t="s">
        <v>116</v>
      </c>
      <c r="F173" s="2">
        <v>89</v>
      </c>
      <c r="G173" s="2" t="s">
        <v>290</v>
      </c>
      <c r="H173" s="2" t="s">
        <v>192</v>
      </c>
      <c r="I173" s="18">
        <v>18551</v>
      </c>
      <c r="J173" s="2">
        <v>10</v>
      </c>
      <c r="K173" t="str">
        <f>_xlfn.IFNA(VLOOKUP(TRIM(E173),Doctor_Directory!$A$2:$D$31,2,FALSE),"No name")</f>
        <v>Dr. Tunde Usman</v>
      </c>
      <c r="L173" t="str">
        <f>VLOOKUP(TRIM(D173),[1]Hospital_Details!$A$2:$D$16,2,FALSE)</f>
        <v>MC-PHC-03</v>
      </c>
      <c r="M173" t="str">
        <f>VLOOKUP(I173,Bill_Tier_Reference!$A$2:$B$5,2,TRUE)</f>
        <v>Tier 1 - Basic</v>
      </c>
      <c r="N173" t="str">
        <f>VLOOKUP(F173,Age_Bracket_Reference!$A$2:$B$6,2,TRUE)</f>
        <v>Senior</v>
      </c>
      <c r="O173" t="str">
        <f>VLOOKUP(C173,State_Coordinator!$A$2:$B$6,2,FALSE)</f>
        <v>Ebiere Amadi</v>
      </c>
      <c r="P173" t="str">
        <f>VLOOKUP(L173,[2]Hospital_Details!$B$2:$D$16,3,FALSE)</f>
        <v>Platinum</v>
      </c>
      <c r="Q173" t="str" cm="1">
        <f t="array" ref="Q173">_xlfn.IFS(ISNUMBER(SEARCH("TB", G173)),Protocol_Reference!$B$2, ISNUMBER(SEARCH("Malaria",G173)),Protocol_Reference!$B$3, ISNUMBER(SEARCH("Typhoid",G173)),Protocol_Reference!$B$4, ISNUMBER(SEARCH("Hypertension", G173,)),Protocol_Reference!$B$5, ISNUMBER(SEARCH("Diabetes", G173)),Protocol_Reference!$B$6, ISNUMBER(SEARCH("Cholera", G173)),Protocol_Reference!$B$7, ISNUMBER(SEARCH("Pneumonia", G173)),Protocol_Reference!$B$8, TRUE, "Out of scope/ Routine Care")</f>
        <v>Directly Observed Treatment Short-course (DOTS) - 6 month regimen</v>
      </c>
      <c r="R173" s="16">
        <f>IFERROR(VLOOKUP(E173,Doctor_Directory!$A$2:$D$31,4,FALSE),"Check Doctor Code")</f>
        <v>10000</v>
      </c>
      <c r="S173" s="6" cm="1">
        <f t="array" ref="S173">_xlfn.XLOOKUP(C173,Insurance_Reimbursement_Matrix!$A$2:$A$6,_xlfn.XLOOKUP(_xlfn.XLOOKUP(F173,Age_Bracket_Reference!$A$2:$A$6,Age_Bracket_Reference!$B$2:$B$6,,-1),Insurance_Reimbursement_Matrix!$B$1:$F$1,Insurance_Reimbursement_Matrix!$B$2:$F$6))</f>
        <v>0.79</v>
      </c>
    </row>
    <row r="174" spans="1:19" x14ac:dyDescent="0.25">
      <c r="A174" s="2" t="s">
        <v>514</v>
      </c>
      <c r="B174" s="2" t="s">
        <v>515</v>
      </c>
      <c r="C174" s="2" t="s">
        <v>37</v>
      </c>
      <c r="D174" s="2" t="s">
        <v>38</v>
      </c>
      <c r="E174" s="2" t="s">
        <v>69</v>
      </c>
      <c r="F174" s="2">
        <v>80</v>
      </c>
      <c r="G174" s="2" t="s">
        <v>85</v>
      </c>
      <c r="H174" s="2" t="s">
        <v>41</v>
      </c>
      <c r="I174" s="18">
        <v>7842</v>
      </c>
      <c r="J174" s="2">
        <v>10</v>
      </c>
      <c r="K174" t="str">
        <f>_xlfn.IFNA(VLOOKUP(TRIM(E174),Doctor_Directory!$A$2:$D$31,2,FALSE),"No name")</f>
        <v>Dr. Yusuf Usman</v>
      </c>
      <c r="L174" t="str">
        <f>VLOOKUP(TRIM(D174),[1]Hospital_Details!$A$2:$D$16,2,FALSE)</f>
        <v>MC-ENU-03</v>
      </c>
      <c r="M174" t="str">
        <f>VLOOKUP(I174,Bill_Tier_Reference!$A$2:$B$5,2,TRUE)</f>
        <v>Tier 1 - Basic</v>
      </c>
      <c r="N174" t="str">
        <f>VLOOKUP(F174,Age_Bracket_Reference!$A$2:$B$6,2,TRUE)</f>
        <v>Senior</v>
      </c>
      <c r="O174" t="str">
        <f>VLOOKUP(C174,State_Coordinator!$A$2:$B$6,2,FALSE)</f>
        <v>Chidiebere Okoro</v>
      </c>
      <c r="P174" t="str">
        <f>VLOOKUP(L174,[2]Hospital_Details!$B$2:$D$16,3,FALSE)</f>
        <v>Gold</v>
      </c>
      <c r="Q174" t="str" cm="1">
        <f t="array" ref="Q174">_xlfn.IFS(ISNUMBER(SEARCH("TB", G174)),Protocol_Reference!$B$2, ISNUMBER(SEARCH("Malaria",G174)),Protocol_Reference!$B$3, ISNUMBER(SEARCH("Typhoid",G174)),Protocol_Reference!$B$4, ISNUMBER(SEARCH("Hypertension", G174,)),Protocol_Reference!$B$5, ISNUMBER(SEARCH("Diabetes", G174)),Protocol_Reference!$B$6, ISNUMBER(SEARCH("Cholera", G174)),Protocol_Reference!$B$7, ISNUMBER(SEARCH("Pneumonia", G174)),Protocol_Reference!$B$8, TRUE, "Out of scope/ Routine Care")</f>
        <v>Artemisinin-based Combination Therapy (ACT) - 3-day course</v>
      </c>
      <c r="R174" s="16">
        <f>IFERROR(VLOOKUP(E174,Doctor_Directory!$A$2:$D$31,4,FALSE),"Check Doctor Code")</f>
        <v>9000</v>
      </c>
      <c r="S174" s="6" cm="1">
        <f t="array" ref="S174">_xlfn.XLOOKUP(C174,Insurance_Reimbursement_Matrix!$A$2:$A$6,_xlfn.XLOOKUP(_xlfn.XLOOKUP(F174,Age_Bracket_Reference!$A$2:$A$6,Age_Bracket_Reference!$B$2:$B$6,,-1),Insurance_Reimbursement_Matrix!$B$1:$F$1,Insurance_Reimbursement_Matrix!$B$2:$F$6))</f>
        <v>0.76</v>
      </c>
    </row>
    <row r="175" spans="1:19" x14ac:dyDescent="0.25">
      <c r="A175" s="2" t="s">
        <v>516</v>
      </c>
      <c r="B175" s="2" t="s">
        <v>517</v>
      </c>
      <c r="C175" s="2" t="s">
        <v>44</v>
      </c>
      <c r="D175" s="2" t="s">
        <v>518</v>
      </c>
      <c r="E175" s="2" t="s">
        <v>120</v>
      </c>
      <c r="F175" s="2">
        <v>54</v>
      </c>
      <c r="G175" s="2" t="s">
        <v>191</v>
      </c>
      <c r="H175" s="2" t="s">
        <v>99</v>
      </c>
      <c r="I175" s="18">
        <v>9681</v>
      </c>
      <c r="J175" s="2">
        <v>12</v>
      </c>
      <c r="K175" t="str">
        <f>_xlfn.IFNA(VLOOKUP(TRIM(E175),Doctor_Directory!$A$2:$D$31,2,FALSE),"No name")</f>
        <v>Dr. Adaugo Fashola</v>
      </c>
      <c r="L175" t="str">
        <f>VLOOKUP(TRIM(D175),[1]Hospital_Details!$A$2:$D$16,2,FALSE)</f>
        <v>MC-ABJ-01</v>
      </c>
      <c r="M175" t="str">
        <f>VLOOKUP(I175,Bill_Tier_Reference!$A$2:$B$5,2,TRUE)</f>
        <v>Tier 1 - Basic</v>
      </c>
      <c r="N175" t="str">
        <f>VLOOKUP(F175,Age_Bracket_Reference!$A$2:$B$6,2,TRUE)</f>
        <v>Adult</v>
      </c>
      <c r="O175" t="str">
        <f>VLOOKUP(C175,State_Coordinator!$A$2:$B$6,2,FALSE)</f>
        <v>Ibrahim Garba</v>
      </c>
      <c r="P175" t="str">
        <f>VLOOKUP(L175,[2]Hospital_Details!$B$2:$D$16,3,FALSE)</f>
        <v>Platinum</v>
      </c>
      <c r="Q175" t="str" cm="1">
        <f t="array" ref="Q175">_xlfn.IFS(ISNUMBER(SEARCH("TB", G175)),Protocol_Reference!$B$2, ISNUMBER(SEARCH("Malaria",G175)),Protocol_Reference!$B$3, ISNUMBER(SEARCH("Typhoid",G175)),Protocol_Reference!$B$4, ISNUMBER(SEARCH("Hypertension", G175,)),Protocol_Reference!$B$5, ISNUMBER(SEARCH("Diabetes", G175)),Protocol_Reference!$B$6, ISNUMBER(SEARCH("Cholera", G175)),Protocol_Reference!$B$7, ISNUMBER(SEARCH("Pneumonia", G175)),Protocol_Reference!$B$8, TRUE, "Out of scope/ Routine Care")</f>
        <v>Directly Observed Treatment Short-course (DOTS) - 6 month regimen</v>
      </c>
      <c r="R175" s="16">
        <f>IFERROR(VLOOKUP(E175,Doctor_Directory!$A$2:$D$31,4,FALSE),"Check Doctor Code")</f>
        <v>4000</v>
      </c>
      <c r="S175" s="6" cm="1">
        <f t="array" ref="S175">_xlfn.XLOOKUP(C175,Insurance_Reimbursement_Matrix!$A$2:$A$6,_xlfn.XLOOKUP(_xlfn.XLOOKUP(F175,Age_Bracket_Reference!$A$2:$A$6,Age_Bracket_Reference!$B$2:$B$6,,-1),Insurance_Reimbursement_Matrix!$B$1:$F$1,Insurance_Reimbursement_Matrix!$B$2:$F$6))</f>
        <v>0.65</v>
      </c>
    </row>
    <row r="176" spans="1:19" x14ac:dyDescent="0.25">
      <c r="A176" s="2" t="s">
        <v>519</v>
      </c>
      <c r="B176" s="2" t="s">
        <v>520</v>
      </c>
      <c r="C176" s="2" t="s">
        <v>44</v>
      </c>
      <c r="D176" s="2" t="s">
        <v>186</v>
      </c>
      <c r="E176" s="2" t="s">
        <v>120</v>
      </c>
      <c r="F176" s="2">
        <v>85</v>
      </c>
      <c r="G176" s="2" t="s">
        <v>111</v>
      </c>
      <c r="H176" s="2" t="s">
        <v>521</v>
      </c>
      <c r="I176" s="18">
        <v>97699</v>
      </c>
      <c r="J176" s="2">
        <v>9</v>
      </c>
      <c r="K176" t="str">
        <f>_xlfn.IFNA(VLOOKUP(TRIM(E176),Doctor_Directory!$A$2:$D$31,2,FALSE),"No name")</f>
        <v>Dr. Adaugo Fashola</v>
      </c>
      <c r="L176" t="str">
        <f>VLOOKUP(TRIM(D176),[1]Hospital_Details!$A$2:$D$16,2,FALSE)</f>
        <v>MC-ABJ-03</v>
      </c>
      <c r="M176" t="str">
        <f>VLOOKUP(I176,Bill_Tier_Reference!$A$2:$B$5,2,TRUE)</f>
        <v>Tier 3 - Premium</v>
      </c>
      <c r="N176" t="str">
        <f>VLOOKUP(F176,Age_Bracket_Reference!$A$2:$B$6,2,TRUE)</f>
        <v>Senior</v>
      </c>
      <c r="O176" t="str">
        <f>VLOOKUP(C176,State_Coordinator!$A$2:$B$6,2,FALSE)</f>
        <v>Ibrahim Garba</v>
      </c>
      <c r="P176" t="str">
        <f>VLOOKUP(L176,[2]Hospital_Details!$B$2:$D$16,3,FALSE)</f>
        <v>Silver</v>
      </c>
      <c r="Q176" t="str" cm="1">
        <f t="array" ref="Q176">_xlfn.IFS(ISNUMBER(SEARCH("TB", G176)),Protocol_Reference!$B$2, ISNUMBER(SEARCH("Malaria",G176)),Protocol_Reference!$B$3, ISNUMBER(SEARCH("Typhoid",G176)),Protocol_Reference!$B$4, ISNUMBER(SEARCH("Hypertension", G176,)),Protocol_Reference!$B$5, ISNUMBER(SEARCH("Diabetes", G176)),Protocol_Reference!$B$6, ISNUMBER(SEARCH("Cholera", G176)),Protocol_Reference!$B$7, ISNUMBER(SEARCH("Pneumonia", G176)),Protocol_Reference!$B$8, TRUE, "Out of scope/ Routine Care")</f>
        <v>Oral Rehydration Therapy + Doxycycline</v>
      </c>
      <c r="R176" s="16">
        <f>IFERROR(VLOOKUP(E176,Doctor_Directory!$A$2:$D$31,4,FALSE),"Check Doctor Code")</f>
        <v>4000</v>
      </c>
      <c r="S176" s="6" cm="1">
        <f t="array" ref="S176">_xlfn.XLOOKUP(C176,Insurance_Reimbursement_Matrix!$A$2:$A$6,_xlfn.XLOOKUP(_xlfn.XLOOKUP(F176,Age_Bracket_Reference!$A$2:$A$6,Age_Bracket_Reference!$B$2:$B$6,,-1),Insurance_Reimbursement_Matrix!$B$1:$F$1,Insurance_Reimbursement_Matrix!$B$2:$F$6))</f>
        <v>0.79</v>
      </c>
    </row>
    <row r="177" spans="1:19" x14ac:dyDescent="0.25">
      <c r="A177" s="2" t="s">
        <v>522</v>
      </c>
      <c r="B177" s="2" t="s">
        <v>523</v>
      </c>
      <c r="C177" s="2" t="s">
        <v>37</v>
      </c>
      <c r="D177" s="2" t="s">
        <v>97</v>
      </c>
      <c r="E177" s="2" t="s">
        <v>231</v>
      </c>
      <c r="F177" s="2">
        <v>32</v>
      </c>
      <c r="G177" s="2" t="s">
        <v>15</v>
      </c>
      <c r="H177" s="2" t="s">
        <v>54</v>
      </c>
      <c r="I177" s="18">
        <v>198402</v>
      </c>
      <c r="J177" s="2">
        <v>12</v>
      </c>
      <c r="K177" t="str">
        <f>_xlfn.IFNA(VLOOKUP(TRIM(E177),Doctor_Directory!$A$2:$D$31,2,FALSE),"No name")</f>
        <v>Dr. Bimpe Mohammed</v>
      </c>
      <c r="L177" t="str">
        <f>VLOOKUP(TRIM(D177),[1]Hospital_Details!$A$2:$D$16,2,FALSE)</f>
        <v>MC-ENU-02</v>
      </c>
      <c r="M177" t="str">
        <f>VLOOKUP(I177,Bill_Tier_Reference!$A$2:$B$5,2,TRUE)</f>
        <v>Tier 3 - Premium</v>
      </c>
      <c r="N177" t="str">
        <f>VLOOKUP(F177,Age_Bracket_Reference!$A$2:$B$6,2,TRUE)</f>
        <v>Young Adult</v>
      </c>
      <c r="O177" t="str">
        <f>VLOOKUP(C177,State_Coordinator!$A$2:$B$6,2,FALSE)</f>
        <v>Chidiebere Okoro</v>
      </c>
      <c r="P177" t="str">
        <f>VLOOKUP(L177,[2]Hospital_Details!$B$2:$D$16,3,FALSE)</f>
        <v>Bronze</v>
      </c>
      <c r="Q177" t="str" cm="1">
        <f t="array" ref="Q177">_xlfn.IFS(ISNUMBER(SEARCH("TB", G177)),Protocol_Reference!$B$2, ISNUMBER(SEARCH("Malaria",G177)),Protocol_Reference!$B$3, ISNUMBER(SEARCH("Typhoid",G177)),Protocol_Reference!$B$4, ISNUMBER(SEARCH("Hypertension", G177,)),Protocol_Reference!$B$5, ISNUMBER(SEARCH("Diabetes", G177)),Protocol_Reference!$B$6, ISNUMBER(SEARCH("Cholera", G177)),Protocol_Reference!$B$7, ISNUMBER(SEARCH("Pneumonia", G177)),Protocol_Reference!$B$8, TRUE, "Out of scope/ Routine Care")</f>
        <v>Ciprofloxacin 500mg twice daily for 7-10 days</v>
      </c>
      <c r="R177" s="16">
        <f>IFERROR(VLOOKUP(E177,Doctor_Directory!$A$2:$D$31,4,FALSE),"Check Doctor Code")</f>
        <v>4000</v>
      </c>
      <c r="S177" s="6" cm="1">
        <f t="array" ref="S177">_xlfn.XLOOKUP(C177,Insurance_Reimbursement_Matrix!$A$2:$A$6,_xlfn.XLOOKUP(_xlfn.XLOOKUP(F177,Age_Bracket_Reference!$A$2:$A$6,Age_Bracket_Reference!$B$2:$B$6,,-1),Insurance_Reimbursement_Matrix!$B$1:$F$1,Insurance_Reimbursement_Matrix!$B$2:$F$6))</f>
        <v>0.69</v>
      </c>
    </row>
    <row r="178" spans="1:19" x14ac:dyDescent="0.25">
      <c r="A178" s="2" t="s">
        <v>524</v>
      </c>
      <c r="B178" s="2" t="s">
        <v>525</v>
      </c>
      <c r="C178" s="2" t="s">
        <v>26</v>
      </c>
      <c r="D178" s="2" t="s">
        <v>115</v>
      </c>
      <c r="E178" s="2" t="s">
        <v>324</v>
      </c>
      <c r="F178" s="2">
        <v>72</v>
      </c>
      <c r="G178" s="2" t="s">
        <v>98</v>
      </c>
      <c r="H178" s="2" t="s">
        <v>260</v>
      </c>
      <c r="I178" s="18">
        <v>399069</v>
      </c>
      <c r="J178" s="2">
        <v>14</v>
      </c>
      <c r="K178" t="str">
        <f>_xlfn.IFNA(VLOOKUP(TRIM(E178),Doctor_Directory!$A$2:$D$31,2,FALSE),"No name")</f>
        <v>Dr. Ifeoma Ibe</v>
      </c>
      <c r="L178" t="str">
        <f>VLOOKUP(TRIM(D178),[1]Hospital_Details!$A$2:$D$16,2,FALSE)</f>
        <v>MC-KAN-02</v>
      </c>
      <c r="M178" t="str">
        <f>VLOOKUP(I178,Bill_Tier_Reference!$A$2:$B$5,2,TRUE)</f>
        <v>Tier 4 - Elite</v>
      </c>
      <c r="N178" t="str">
        <f>VLOOKUP(F178,Age_Bracket_Reference!$A$2:$B$6,2,TRUE)</f>
        <v>Senior</v>
      </c>
      <c r="O178" t="str">
        <f>VLOOKUP(C178,State_Coordinator!$A$2:$B$6,2,FALSE)</f>
        <v>Hauwa Mustapha</v>
      </c>
      <c r="P178" t="str">
        <f>VLOOKUP(L178,[2]Hospital_Details!$B$2:$D$16,3,FALSE)</f>
        <v>Bronze</v>
      </c>
      <c r="Q178" t="str" cm="1">
        <f t="array" ref="Q178">_xlfn.IFS(ISNUMBER(SEARCH("TB", G178)),Protocol_Reference!$B$2, ISNUMBER(SEARCH("Malaria",G178)),Protocol_Reference!$B$3, ISNUMBER(SEARCH("Typhoid",G178)),Protocol_Reference!$B$4, ISNUMBER(SEARCH("Hypertension", G178,)),Protocol_Reference!$B$5, ISNUMBER(SEARCH("Diabetes", G178)),Protocol_Reference!$B$6, ISNUMBER(SEARCH("Cholera", G178)),Protocol_Reference!$B$7, ISNUMBER(SEARCH("Pneumonia", G178)),Protocol_Reference!$B$8, TRUE, "Out of scope/ Routine Care")</f>
        <v>Directly Observed Treatment Short-course (DOTS) - 6 month regimen</v>
      </c>
      <c r="R178" s="16">
        <f>IFERROR(VLOOKUP(E178,Doctor_Directory!$A$2:$D$31,4,FALSE),"Check Doctor Code")</f>
        <v>4000</v>
      </c>
      <c r="S178" s="6" cm="1">
        <f t="array" ref="S178">_xlfn.XLOOKUP(C178,Insurance_Reimbursement_Matrix!$A$2:$A$6,_xlfn.XLOOKUP(_xlfn.XLOOKUP(F178,Age_Bracket_Reference!$A$2:$A$6,Age_Bracket_Reference!$B$2:$B$6,,-1),Insurance_Reimbursement_Matrix!$B$1:$F$1,Insurance_Reimbursement_Matrix!$B$2:$F$6))</f>
        <v>0.76</v>
      </c>
    </row>
    <row r="179" spans="1:19" x14ac:dyDescent="0.25">
      <c r="A179" s="2" t="s">
        <v>526</v>
      </c>
      <c r="B179" s="2" t="s">
        <v>527</v>
      </c>
      <c r="C179" s="2" t="s">
        <v>26</v>
      </c>
      <c r="D179" s="2" t="s">
        <v>150</v>
      </c>
      <c r="E179" s="2" t="s">
        <v>116</v>
      </c>
      <c r="F179" s="2">
        <v>11</v>
      </c>
      <c r="G179" s="2" t="s">
        <v>22</v>
      </c>
      <c r="H179" s="2" t="s">
        <v>264</v>
      </c>
      <c r="I179" s="18">
        <v>68977</v>
      </c>
      <c r="J179" s="2">
        <v>14</v>
      </c>
      <c r="K179" t="str">
        <f>_xlfn.IFNA(VLOOKUP(TRIM(E179),Doctor_Directory!$A$2:$D$31,2,FALSE),"No name")</f>
        <v>Dr. Tunde Usman</v>
      </c>
      <c r="L179" t="str">
        <f>VLOOKUP(TRIM(D179),[1]Hospital_Details!$A$2:$D$16,2,FALSE)</f>
        <v>MC-KAN-01</v>
      </c>
      <c r="M179" t="str">
        <f>VLOOKUP(I179,Bill_Tier_Reference!$A$2:$B$5,2,TRUE)</f>
        <v>Tier 2 - Standard</v>
      </c>
      <c r="N179" t="str">
        <f>VLOOKUP(F179,Age_Bracket_Reference!$A$2:$B$6,2,TRUE)</f>
        <v>Child</v>
      </c>
      <c r="O179" t="str">
        <f>VLOOKUP(C179,State_Coordinator!$A$2:$B$6,2,FALSE)</f>
        <v>Hauwa Mustapha</v>
      </c>
      <c r="P179" t="str">
        <f>VLOOKUP(L179,[2]Hospital_Details!$B$2:$D$16,3,FALSE)</f>
        <v>Silver</v>
      </c>
      <c r="Q179" t="str" cm="1">
        <f t="array" ref="Q179">_xlfn.IFS(ISNUMBER(SEARCH("TB", G179)),Protocol_Reference!$B$2, ISNUMBER(SEARCH("Malaria",G179)),Protocol_Reference!$B$3, ISNUMBER(SEARCH("Typhoid",G179)),Protocol_Reference!$B$4, ISNUMBER(SEARCH("Hypertension", G179,)),Protocol_Reference!$B$5, ISNUMBER(SEARCH("Diabetes", G179)),Protocol_Reference!$B$6, ISNUMBER(SEARCH("Cholera", G179)),Protocol_Reference!$B$7, ISNUMBER(SEARCH("Pneumonia", G179)),Protocol_Reference!$B$8, TRUE, "Out of scope/ Routine Care")</f>
        <v>Out of scope/ Routine Care</v>
      </c>
      <c r="R179" s="16">
        <f>IFERROR(VLOOKUP(E179,Doctor_Directory!$A$2:$D$31,4,FALSE),"Check Doctor Code")</f>
        <v>10000</v>
      </c>
      <c r="S179" s="6" cm="1">
        <f t="array" ref="S179">_xlfn.XLOOKUP(C179,Insurance_Reimbursement_Matrix!$A$2:$A$6,_xlfn.XLOOKUP(_xlfn.XLOOKUP(F179,Age_Bracket_Reference!$A$2:$A$6,Age_Bracket_Reference!$B$2:$B$6,,-1),Insurance_Reimbursement_Matrix!$B$1:$F$1,Insurance_Reimbursement_Matrix!$B$2:$F$6))</f>
        <v>0.81</v>
      </c>
    </row>
    <row r="180" spans="1:19" x14ac:dyDescent="0.25">
      <c r="A180" s="2" t="s">
        <v>528</v>
      </c>
      <c r="B180" s="2" t="s">
        <v>529</v>
      </c>
      <c r="C180" s="2" t="s">
        <v>37</v>
      </c>
      <c r="D180" s="2" t="s">
        <v>38</v>
      </c>
      <c r="E180" s="2" t="s">
        <v>142</v>
      </c>
      <c r="F180" s="2">
        <v>18</v>
      </c>
      <c r="G180" s="2" t="s">
        <v>59</v>
      </c>
      <c r="H180" s="2" t="s">
        <v>348</v>
      </c>
      <c r="I180" s="18">
        <v>35889</v>
      </c>
      <c r="J180" s="2">
        <v>11</v>
      </c>
      <c r="K180" t="str">
        <f>_xlfn.IFNA(VLOOKUP(TRIM(E180),Doctor_Directory!$A$2:$D$31,2,FALSE),"No name")</f>
        <v>Dr. Bukola Ajayi</v>
      </c>
      <c r="L180" t="str">
        <f>VLOOKUP(TRIM(D180),[1]Hospital_Details!$A$2:$D$16,2,FALSE)</f>
        <v>MC-ENU-03</v>
      </c>
      <c r="M180" t="str">
        <f>VLOOKUP(I180,Bill_Tier_Reference!$A$2:$B$5,2,TRUE)</f>
        <v>Tier 2 - Standard</v>
      </c>
      <c r="N180" t="str">
        <f>VLOOKUP(F180,Age_Bracket_Reference!$A$2:$B$6,2,TRUE)</f>
        <v>Young Adult</v>
      </c>
      <c r="O180" t="str">
        <f>VLOOKUP(C180,State_Coordinator!$A$2:$B$6,2,FALSE)</f>
        <v>Chidiebere Okoro</v>
      </c>
      <c r="P180" t="str">
        <f>VLOOKUP(L180,[2]Hospital_Details!$B$2:$D$16,3,FALSE)</f>
        <v>Gold</v>
      </c>
      <c r="Q180" t="str" cm="1">
        <f t="array" ref="Q180">_xlfn.IFS(ISNUMBER(SEARCH("TB", G180)),Protocol_Reference!$B$2, ISNUMBER(SEARCH("Malaria",G180)),Protocol_Reference!$B$3, ISNUMBER(SEARCH("Typhoid",G180)),Protocol_Reference!$B$4, ISNUMBER(SEARCH("Hypertension", G180,)),Protocol_Reference!$B$5, ISNUMBER(SEARCH("Diabetes", G180)),Protocol_Reference!$B$6, ISNUMBER(SEARCH("Cholera", G180)),Protocol_Reference!$B$7, ISNUMBER(SEARCH("Pneumonia", G180)),Protocol_Reference!$B$8, TRUE, "Out of scope/ Routine Care")</f>
        <v>Directly Observed Treatment Short-course (DOTS) - 6 month regimen</v>
      </c>
      <c r="R180" s="16">
        <f>IFERROR(VLOOKUP(E180,Doctor_Directory!$A$2:$D$31,4,FALSE),"Check Doctor Code")</f>
        <v>7000</v>
      </c>
      <c r="S180" s="6" cm="1">
        <f t="array" ref="S180">_xlfn.XLOOKUP(C180,Insurance_Reimbursement_Matrix!$A$2:$A$6,_xlfn.XLOOKUP(_xlfn.XLOOKUP(F180,Age_Bracket_Reference!$A$2:$A$6,Age_Bracket_Reference!$B$2:$B$6,,-1),Insurance_Reimbursement_Matrix!$B$1:$F$1,Insurance_Reimbursement_Matrix!$B$2:$F$6))</f>
        <v>0.69</v>
      </c>
    </row>
    <row r="181" spans="1:19" x14ac:dyDescent="0.25">
      <c r="A181" s="2" t="s">
        <v>530</v>
      </c>
      <c r="B181" s="2" t="s">
        <v>531</v>
      </c>
      <c r="C181" s="2" t="s">
        <v>19</v>
      </c>
      <c r="D181" s="2" t="s">
        <v>160</v>
      </c>
      <c r="E181" s="2" t="s">
        <v>120</v>
      </c>
      <c r="F181" s="2">
        <v>61</v>
      </c>
      <c r="G181" s="2" t="s">
        <v>59</v>
      </c>
      <c r="H181" s="2" t="s">
        <v>370</v>
      </c>
      <c r="I181" s="18">
        <v>282806</v>
      </c>
      <c r="J181" s="2">
        <v>11</v>
      </c>
      <c r="K181" t="str">
        <f>_xlfn.IFNA(VLOOKUP(TRIM(E181),Doctor_Directory!$A$2:$D$31,2,FALSE),"No name")</f>
        <v>Dr. Adaugo Fashola</v>
      </c>
      <c r="L181" t="str">
        <f>VLOOKUP(TRIM(D181),[1]Hospital_Details!$A$2:$D$16,2,FALSE)</f>
        <v>MC-LAG-02</v>
      </c>
      <c r="M181" t="str">
        <f>VLOOKUP(I181,Bill_Tier_Reference!$A$2:$B$5,2,TRUE)</f>
        <v>Tier 4 - Elite</v>
      </c>
      <c r="N181" t="str">
        <f>VLOOKUP(F181,Age_Bracket_Reference!$A$2:$B$6,2,TRUE)</f>
        <v>Senior</v>
      </c>
      <c r="O181" t="str">
        <f>VLOOKUP(C181,State_Coordinator!$A$2:$B$6,2,FALSE)</f>
        <v>Funmilayo Adebayo</v>
      </c>
      <c r="P181" t="str">
        <f>VLOOKUP(L181,[2]Hospital_Details!$B$2:$D$16,3,FALSE)</f>
        <v>Bronze</v>
      </c>
      <c r="Q181" t="str" cm="1">
        <f t="array" ref="Q181">_xlfn.IFS(ISNUMBER(SEARCH("TB", G181)),Protocol_Reference!$B$2, ISNUMBER(SEARCH("Malaria",G181)),Protocol_Reference!$B$3, ISNUMBER(SEARCH("Typhoid",G181)),Protocol_Reference!$B$4, ISNUMBER(SEARCH("Hypertension", G181,)),Protocol_Reference!$B$5, ISNUMBER(SEARCH("Diabetes", G181)),Protocol_Reference!$B$6, ISNUMBER(SEARCH("Cholera", G181)),Protocol_Reference!$B$7, ISNUMBER(SEARCH("Pneumonia", G181)),Protocol_Reference!$B$8, TRUE, "Out of scope/ Routine Care")</f>
        <v>Directly Observed Treatment Short-course (DOTS) - 6 month regimen</v>
      </c>
      <c r="R181" s="16">
        <f>IFERROR(VLOOKUP(E181,Doctor_Directory!$A$2:$D$31,4,FALSE),"Check Doctor Code")</f>
        <v>4000</v>
      </c>
      <c r="S181" s="6" cm="1">
        <f t="array" ref="S181">_xlfn.XLOOKUP(C181,Insurance_Reimbursement_Matrix!$A$2:$A$6,_xlfn.XLOOKUP(_xlfn.XLOOKUP(F181,Age_Bracket_Reference!$A$2:$A$6,Age_Bracket_Reference!$B$2:$B$6,,-1),Insurance_Reimbursement_Matrix!$B$1:$F$1,Insurance_Reimbursement_Matrix!$B$2:$F$6))</f>
        <v>0.8</v>
      </c>
    </row>
    <row r="182" spans="1:19" x14ac:dyDescent="0.25">
      <c r="A182" s="2" t="s">
        <v>532</v>
      </c>
      <c r="B182" s="2" t="s">
        <v>533</v>
      </c>
      <c r="C182" s="2" t="s">
        <v>44</v>
      </c>
      <c r="D182" s="2" t="s">
        <v>138</v>
      </c>
      <c r="E182" s="2" t="s">
        <v>120</v>
      </c>
      <c r="F182" s="2">
        <v>37</v>
      </c>
      <c r="G182" s="2" t="s">
        <v>290</v>
      </c>
      <c r="H182" s="2" t="s">
        <v>104</v>
      </c>
      <c r="I182" s="18">
        <v>5931</v>
      </c>
      <c r="J182" s="2">
        <v>3</v>
      </c>
      <c r="K182" t="str">
        <f>_xlfn.IFNA(VLOOKUP(TRIM(E182),Doctor_Directory!$A$2:$D$31,2,FALSE),"No name")</f>
        <v>Dr. Adaugo Fashola</v>
      </c>
      <c r="L182" t="str">
        <f>VLOOKUP(TRIM(D182),[1]Hospital_Details!$A$2:$D$16,2,FALSE)</f>
        <v>MC-ABJ-02</v>
      </c>
      <c r="M182" t="str">
        <f>VLOOKUP(I182,Bill_Tier_Reference!$A$2:$B$5,2,TRUE)</f>
        <v>Tier 1 - Basic</v>
      </c>
      <c r="N182" t="str">
        <f>VLOOKUP(F182,Age_Bracket_Reference!$A$2:$B$6,2,TRUE)</f>
        <v>Adult</v>
      </c>
      <c r="O182" t="str">
        <f>VLOOKUP(C182,State_Coordinator!$A$2:$B$6,2,FALSE)</f>
        <v>Ibrahim Garba</v>
      </c>
      <c r="P182" t="str">
        <f>VLOOKUP(L182,[2]Hospital_Details!$B$2:$D$16,3,FALSE)</f>
        <v>Silver</v>
      </c>
      <c r="Q182" t="str" cm="1">
        <f t="array" ref="Q182">_xlfn.IFS(ISNUMBER(SEARCH("TB", G182)),Protocol_Reference!$B$2, ISNUMBER(SEARCH("Malaria",G182)),Protocol_Reference!$B$3, ISNUMBER(SEARCH("Typhoid",G182)),Protocol_Reference!$B$4, ISNUMBER(SEARCH("Hypertension", G182,)),Protocol_Reference!$B$5, ISNUMBER(SEARCH("Diabetes", G182)),Protocol_Reference!$B$6, ISNUMBER(SEARCH("Cholera", G182)),Protocol_Reference!$B$7, ISNUMBER(SEARCH("Pneumonia", G182)),Protocol_Reference!$B$8, TRUE, "Out of scope/ Routine Care")</f>
        <v>Directly Observed Treatment Short-course (DOTS) - 6 month regimen</v>
      </c>
      <c r="R182" s="16">
        <f>IFERROR(VLOOKUP(E182,Doctor_Directory!$A$2:$D$31,4,FALSE),"Check Doctor Code")</f>
        <v>4000</v>
      </c>
      <c r="S182" s="6" cm="1">
        <f t="array" ref="S182">_xlfn.XLOOKUP(C182,Insurance_Reimbursement_Matrix!$A$2:$A$6,_xlfn.XLOOKUP(_xlfn.XLOOKUP(F182,Age_Bracket_Reference!$A$2:$A$6,Age_Bracket_Reference!$B$2:$B$6,,-1),Insurance_Reimbursement_Matrix!$B$1:$F$1,Insurance_Reimbursement_Matrix!$B$2:$F$6))</f>
        <v>0.65</v>
      </c>
    </row>
    <row r="183" spans="1:19" x14ac:dyDescent="0.25">
      <c r="A183" s="2" t="s">
        <v>534</v>
      </c>
      <c r="B183" s="2" t="s">
        <v>535</v>
      </c>
      <c r="C183" s="2" t="s">
        <v>19</v>
      </c>
      <c r="D183" s="2" t="s">
        <v>160</v>
      </c>
      <c r="E183" s="2" t="s">
        <v>46</v>
      </c>
      <c r="F183" s="2">
        <v>64</v>
      </c>
      <c r="G183" s="2" t="s">
        <v>329</v>
      </c>
      <c r="H183" s="2" t="s">
        <v>339</v>
      </c>
      <c r="I183" s="18">
        <v>114110</v>
      </c>
      <c r="J183" s="2">
        <v>5</v>
      </c>
      <c r="K183" t="str">
        <f>_xlfn.IFNA(VLOOKUP(TRIM(E183),Doctor_Directory!$A$2:$D$31,2,FALSE),"No name")</f>
        <v>Dr. Amaka Okafor</v>
      </c>
      <c r="L183" t="str">
        <f>VLOOKUP(TRIM(D183),[1]Hospital_Details!$A$2:$D$16,2,FALSE)</f>
        <v>MC-LAG-02</v>
      </c>
      <c r="M183" t="str">
        <f>VLOOKUP(I183,Bill_Tier_Reference!$A$2:$B$5,2,TRUE)</f>
        <v>Tier 3 - Premium</v>
      </c>
      <c r="N183" t="str">
        <f>VLOOKUP(F183,Age_Bracket_Reference!$A$2:$B$6,2,TRUE)</f>
        <v>Senior</v>
      </c>
      <c r="O183" t="str">
        <f>VLOOKUP(C183,State_Coordinator!$A$2:$B$6,2,FALSE)</f>
        <v>Funmilayo Adebayo</v>
      </c>
      <c r="P183" t="str">
        <f>VLOOKUP(L183,[2]Hospital_Details!$B$2:$D$16,3,FALSE)</f>
        <v>Bronze</v>
      </c>
      <c r="Q183" t="str" cm="1">
        <f t="array" ref="Q183">_xlfn.IFS(ISNUMBER(SEARCH("TB", G183)),Protocol_Reference!$B$2, ISNUMBER(SEARCH("Malaria",G183)),Protocol_Reference!$B$3, ISNUMBER(SEARCH("Typhoid",G183)),Protocol_Reference!$B$4, ISNUMBER(SEARCH("Hypertension", G183,)),Protocol_Reference!$B$5, ISNUMBER(SEARCH("Diabetes", G183)),Protocol_Reference!$B$6, ISNUMBER(SEARCH("Cholera", G183)),Protocol_Reference!$B$7, ISNUMBER(SEARCH("Pneumonia", G183)),Protocol_Reference!$B$8, TRUE, "Out of scope/ Routine Care")</f>
        <v>Artemisinin-based Combination Therapy (ACT) - 3-day course</v>
      </c>
      <c r="R183" s="16">
        <f>IFERROR(VLOOKUP(E183,Doctor_Directory!$A$2:$D$31,4,FALSE),"Check Doctor Code")</f>
        <v>4000</v>
      </c>
      <c r="S183" s="6" cm="1">
        <f t="array" ref="S183">_xlfn.XLOOKUP(C183,Insurance_Reimbursement_Matrix!$A$2:$A$6,_xlfn.XLOOKUP(_xlfn.XLOOKUP(F183,Age_Bracket_Reference!$A$2:$A$6,Age_Bracket_Reference!$B$2:$B$6,,-1),Insurance_Reimbursement_Matrix!$B$1:$F$1,Insurance_Reimbursement_Matrix!$B$2:$F$6))</f>
        <v>0.8</v>
      </c>
    </row>
    <row r="184" spans="1:19" x14ac:dyDescent="0.25">
      <c r="A184" s="2" t="s">
        <v>536</v>
      </c>
      <c r="B184" s="2" t="s">
        <v>537</v>
      </c>
      <c r="C184" s="2" t="s">
        <v>37</v>
      </c>
      <c r="D184" s="2" t="s">
        <v>97</v>
      </c>
      <c r="E184" s="2" t="s">
        <v>93</v>
      </c>
      <c r="F184" s="2">
        <v>18</v>
      </c>
      <c r="G184" s="2" t="s">
        <v>70</v>
      </c>
      <c r="H184" s="2" t="s">
        <v>107</v>
      </c>
      <c r="I184" s="18">
        <v>181012</v>
      </c>
      <c r="J184" s="2">
        <v>3</v>
      </c>
      <c r="K184" t="str">
        <f>_xlfn.IFNA(VLOOKUP(TRIM(E184),Doctor_Directory!$A$2:$D$31,2,FALSE),"No name")</f>
        <v>Dr. Ngozi Umar</v>
      </c>
      <c r="L184" t="str">
        <f>VLOOKUP(TRIM(D184),[1]Hospital_Details!$A$2:$D$16,2,FALSE)</f>
        <v>MC-ENU-02</v>
      </c>
      <c r="M184" t="str">
        <f>VLOOKUP(I184,Bill_Tier_Reference!$A$2:$B$5,2,TRUE)</f>
        <v>Tier 3 - Premium</v>
      </c>
      <c r="N184" t="str">
        <f>VLOOKUP(F184,Age_Bracket_Reference!$A$2:$B$6,2,TRUE)</f>
        <v>Young Adult</v>
      </c>
      <c r="O184" t="str">
        <f>VLOOKUP(C184,State_Coordinator!$A$2:$B$6,2,FALSE)</f>
        <v>Chidiebere Okoro</v>
      </c>
      <c r="P184" t="str">
        <f>VLOOKUP(L184,[2]Hospital_Details!$B$2:$D$16,3,FALSE)</f>
        <v>Bronze</v>
      </c>
      <c r="Q184" t="str" cm="1">
        <f t="array" ref="Q184">_xlfn.IFS(ISNUMBER(SEARCH("TB", G184)),Protocol_Reference!$B$2, ISNUMBER(SEARCH("Malaria",G184)),Protocol_Reference!$B$3, ISNUMBER(SEARCH("Typhoid",G184)),Protocol_Reference!$B$4, ISNUMBER(SEARCH("Hypertension", G184,)),Protocol_Reference!$B$5, ISNUMBER(SEARCH("Diabetes", G184)),Protocol_Reference!$B$6, ISNUMBER(SEARCH("Cholera", G184)),Protocol_Reference!$B$7, ISNUMBER(SEARCH("Pneumonia", G184)),Protocol_Reference!$B$8, TRUE, "Out of scope/ Routine Care")</f>
        <v>Amoxicillin-Clavulanate 625mg three times daily for 7 days</v>
      </c>
      <c r="R184" s="16">
        <f>IFERROR(VLOOKUP(E184,Doctor_Directory!$A$2:$D$31,4,FALSE),"Check Doctor Code")</f>
        <v>9000</v>
      </c>
      <c r="S184" s="6" cm="1">
        <f t="array" ref="S184">_xlfn.XLOOKUP(C184,Insurance_Reimbursement_Matrix!$A$2:$A$6,_xlfn.XLOOKUP(_xlfn.XLOOKUP(F184,Age_Bracket_Reference!$A$2:$A$6,Age_Bracket_Reference!$B$2:$B$6,,-1),Insurance_Reimbursement_Matrix!$B$1:$F$1,Insurance_Reimbursement_Matrix!$B$2:$F$6))</f>
        <v>0.69</v>
      </c>
    </row>
    <row r="185" spans="1:19" x14ac:dyDescent="0.25">
      <c r="A185" s="2" t="s">
        <v>538</v>
      </c>
      <c r="B185" s="2" t="s">
        <v>539</v>
      </c>
      <c r="C185" s="2" t="s">
        <v>26</v>
      </c>
      <c r="D185" s="2" t="s">
        <v>27</v>
      </c>
      <c r="E185" s="2" t="s">
        <v>110</v>
      </c>
      <c r="F185" s="2">
        <v>2</v>
      </c>
      <c r="G185" s="2" t="s">
        <v>53</v>
      </c>
      <c r="H185" s="2" t="s">
        <v>405</v>
      </c>
      <c r="I185" s="18">
        <v>57210</v>
      </c>
      <c r="J185" s="2">
        <v>10</v>
      </c>
      <c r="K185" t="str">
        <f>_xlfn.IFNA(VLOOKUP(TRIM(E185),Doctor_Directory!$A$2:$D$31,2,FALSE),"No name")</f>
        <v>Dr. Uche Ogunleye</v>
      </c>
      <c r="L185" t="str">
        <f>VLOOKUP(TRIM(D185),[1]Hospital_Details!$A$2:$D$16,2,FALSE)</f>
        <v>MC-KAN-03</v>
      </c>
      <c r="M185" t="str">
        <f>VLOOKUP(I185,Bill_Tier_Reference!$A$2:$B$5,2,TRUE)</f>
        <v>Tier 2 - Standard</v>
      </c>
      <c r="N185" t="str">
        <f>VLOOKUP(F185,Age_Bracket_Reference!$A$2:$B$6,2,TRUE)</f>
        <v>Child</v>
      </c>
      <c r="O185" t="str">
        <f>VLOOKUP(C185,State_Coordinator!$A$2:$B$6,2,FALSE)</f>
        <v>Hauwa Mustapha</v>
      </c>
      <c r="P185" t="str">
        <f>VLOOKUP(L185,[2]Hospital_Details!$B$2:$D$16,3,FALSE)</f>
        <v>Platinum</v>
      </c>
      <c r="Q185" t="str" cm="1">
        <f t="array" ref="Q185">_xlfn.IFS(ISNUMBER(SEARCH("TB", G185)),Protocol_Reference!$B$2, ISNUMBER(SEARCH("Malaria",G185)),Protocol_Reference!$B$3, ISNUMBER(SEARCH("Typhoid",G185)),Protocol_Reference!$B$4, ISNUMBER(SEARCH("Hypertension", G185,)),Protocol_Reference!$B$5, ISNUMBER(SEARCH("Diabetes", G185)),Protocol_Reference!$B$6, ISNUMBER(SEARCH("Cholera", G185)),Protocol_Reference!$B$7, ISNUMBER(SEARCH("Pneumonia", G185)),Protocol_Reference!$B$8, TRUE, "Out of scope/ Routine Care")</f>
        <v>Out of scope/ Routine Care</v>
      </c>
      <c r="R185" s="16">
        <f>IFERROR(VLOOKUP(E185,Doctor_Directory!$A$2:$D$31,4,FALSE),"Check Doctor Code")</f>
        <v>6000</v>
      </c>
      <c r="S185" s="6" cm="1">
        <f t="array" ref="S185">_xlfn.XLOOKUP(C185,Insurance_Reimbursement_Matrix!$A$2:$A$6,_xlfn.XLOOKUP(_xlfn.XLOOKUP(F185,Age_Bracket_Reference!$A$2:$A$6,Age_Bracket_Reference!$B$2:$B$6,,-1),Insurance_Reimbursement_Matrix!$B$1:$F$1,Insurance_Reimbursement_Matrix!$B$2:$F$6))</f>
        <v>0.81</v>
      </c>
    </row>
    <row r="186" spans="1:19" x14ac:dyDescent="0.25">
      <c r="A186" s="2" t="s">
        <v>540</v>
      </c>
      <c r="B186" s="2" t="s">
        <v>541</v>
      </c>
      <c r="C186" s="2" t="s">
        <v>12</v>
      </c>
      <c r="D186" s="2" t="s">
        <v>217</v>
      </c>
      <c r="E186" s="2" t="s">
        <v>120</v>
      </c>
      <c r="F186" s="2">
        <v>12</v>
      </c>
      <c r="G186" s="2" t="s">
        <v>47</v>
      </c>
      <c r="H186" s="2" t="s">
        <v>130</v>
      </c>
      <c r="I186" s="18">
        <v>93430</v>
      </c>
      <c r="J186" s="2">
        <v>4</v>
      </c>
      <c r="K186" t="str">
        <f>_xlfn.IFNA(VLOOKUP(TRIM(E186),Doctor_Directory!$A$2:$D$31,2,FALSE),"No name")</f>
        <v>Dr. Adaugo Fashola</v>
      </c>
      <c r="L186" t="str">
        <f>VLOOKUP(TRIM(D186),[1]Hospital_Details!$A$2:$D$16,2,FALSE)</f>
        <v>MC-PHC-03</v>
      </c>
      <c r="M186" t="str">
        <f>VLOOKUP(I186,Bill_Tier_Reference!$A$2:$B$5,2,TRUE)</f>
        <v>Tier 3 - Premium</v>
      </c>
      <c r="N186" t="str">
        <f>VLOOKUP(F186,Age_Bracket_Reference!$A$2:$B$6,2,TRUE)</f>
        <v>Child</v>
      </c>
      <c r="O186" t="str">
        <f>VLOOKUP(C186,State_Coordinator!$A$2:$B$6,2,FALSE)</f>
        <v>Ebiere Amadi</v>
      </c>
      <c r="P186" t="str">
        <f>VLOOKUP(L186,[2]Hospital_Details!$B$2:$D$16,3,FALSE)</f>
        <v>Platinum</v>
      </c>
      <c r="Q186" t="str" cm="1">
        <f t="array" ref="Q186">_xlfn.IFS(ISNUMBER(SEARCH("TB", G186)),Protocol_Reference!$B$2, ISNUMBER(SEARCH("Malaria",G186)),Protocol_Reference!$B$3, ISNUMBER(SEARCH("Typhoid",G186)),Protocol_Reference!$B$4, ISNUMBER(SEARCH("Hypertension", G186,)),Protocol_Reference!$B$5, ISNUMBER(SEARCH("Diabetes", G186)),Protocol_Reference!$B$6, ISNUMBER(SEARCH("Cholera", G186)),Protocol_Reference!$B$7, ISNUMBER(SEARCH("Pneumonia", G186)),Protocol_Reference!$B$8, TRUE, "Out of scope/ Routine Care")</f>
        <v>Metformin 500mg twice daily + dietary counselling</v>
      </c>
      <c r="R186" s="16">
        <f>IFERROR(VLOOKUP(E186,Doctor_Directory!$A$2:$D$31,4,FALSE),"Check Doctor Code")</f>
        <v>4000</v>
      </c>
      <c r="S186" s="6" cm="1">
        <f t="array" ref="S186">_xlfn.XLOOKUP(C186,Insurance_Reimbursement_Matrix!$A$2:$A$6,_xlfn.XLOOKUP(_xlfn.XLOOKUP(F186,Age_Bracket_Reference!$A$2:$A$6,Age_Bracket_Reference!$B$2:$B$6,,-1),Insurance_Reimbursement_Matrix!$B$1:$F$1,Insurance_Reimbursement_Matrix!$B$2:$F$6))</f>
        <v>0.82</v>
      </c>
    </row>
    <row r="187" spans="1:19" x14ac:dyDescent="0.25">
      <c r="A187" s="2" t="s">
        <v>542</v>
      </c>
      <c r="B187" s="2" t="s">
        <v>543</v>
      </c>
      <c r="C187" s="2" t="s">
        <v>12</v>
      </c>
      <c r="D187" s="2" t="s">
        <v>13</v>
      </c>
      <c r="E187" s="2" t="s">
        <v>14</v>
      </c>
      <c r="F187" s="2">
        <v>35</v>
      </c>
      <c r="G187" s="2" t="s">
        <v>89</v>
      </c>
      <c r="H187" s="2" t="s">
        <v>212</v>
      </c>
      <c r="I187" s="18">
        <v>37141</v>
      </c>
      <c r="J187" s="2">
        <v>1</v>
      </c>
      <c r="K187" t="str">
        <f>_xlfn.IFNA(VLOOKUP(TRIM(E187),Doctor_Directory!$A$2:$D$31,2,FALSE),"No name")</f>
        <v>Dr. Blessing Adekunle</v>
      </c>
      <c r="L187" t="str">
        <f>VLOOKUP(TRIM(D187),[1]Hospital_Details!$A$2:$D$16,2,FALSE)</f>
        <v>MC-PHC-01</v>
      </c>
      <c r="M187" t="str">
        <f>VLOOKUP(I187,Bill_Tier_Reference!$A$2:$B$5,2,TRUE)</f>
        <v>Tier 2 - Standard</v>
      </c>
      <c r="N187" t="str">
        <f>VLOOKUP(F187,Age_Bracket_Reference!$A$2:$B$6,2,TRUE)</f>
        <v>Adult</v>
      </c>
      <c r="O187" t="str">
        <f>VLOOKUP(C187,State_Coordinator!$A$2:$B$6,2,FALSE)</f>
        <v>Ebiere Amadi</v>
      </c>
      <c r="P187" t="str">
        <f>VLOOKUP(L187,[2]Hospital_Details!$B$2:$D$16,3,FALSE)</f>
        <v>Bronze</v>
      </c>
      <c r="Q187" t="str" cm="1">
        <f t="array" ref="Q187">_xlfn.IFS(ISNUMBER(SEARCH("TB", G187)),Protocol_Reference!$B$2, ISNUMBER(SEARCH("Malaria",G187)),Protocol_Reference!$B$3, ISNUMBER(SEARCH("Typhoid",G187)),Protocol_Reference!$B$4, ISNUMBER(SEARCH("Hypertension", G187,)),Protocol_Reference!$B$5, ISNUMBER(SEARCH("Diabetes", G187)),Protocol_Reference!$B$6, ISNUMBER(SEARCH("Cholera", G187)),Protocol_Reference!$B$7, ISNUMBER(SEARCH("Pneumonia", G187)),Protocol_Reference!$B$8, TRUE, "Out of scope/ Routine Care")</f>
        <v>Out of scope/ Routine Care</v>
      </c>
      <c r="R187" s="16">
        <f>IFERROR(VLOOKUP(E187,Doctor_Directory!$A$2:$D$31,4,FALSE),"Check Doctor Code")</f>
        <v>10000</v>
      </c>
      <c r="S187" s="6" cm="1">
        <f t="array" ref="S187">_xlfn.XLOOKUP(C187,Insurance_Reimbursement_Matrix!$A$2:$A$6,_xlfn.XLOOKUP(_xlfn.XLOOKUP(F187,Age_Bracket_Reference!$A$2:$A$6,Age_Bracket_Reference!$B$2:$B$6,,-1),Insurance_Reimbursement_Matrix!$B$1:$F$1,Insurance_Reimbursement_Matrix!$B$2:$F$6))</f>
        <v>0.71</v>
      </c>
    </row>
    <row r="188" spans="1:19" x14ac:dyDescent="0.25">
      <c r="A188" s="2" t="s">
        <v>544</v>
      </c>
      <c r="B188" s="2" t="s">
        <v>545</v>
      </c>
      <c r="C188" s="2" t="s">
        <v>12</v>
      </c>
      <c r="D188" s="2" t="s">
        <v>33</v>
      </c>
      <c r="E188" s="2" t="s">
        <v>110</v>
      </c>
      <c r="F188" s="2">
        <v>52</v>
      </c>
      <c r="G188" s="2" t="s">
        <v>65</v>
      </c>
      <c r="H188" s="2" t="s">
        <v>201</v>
      </c>
      <c r="I188" s="18">
        <v>90389</v>
      </c>
      <c r="J188" s="2">
        <v>10</v>
      </c>
      <c r="K188" t="str">
        <f>_xlfn.IFNA(VLOOKUP(TRIM(E188),Doctor_Directory!$A$2:$D$31,2,FALSE),"No name")</f>
        <v>Dr. Uche Ogunleye</v>
      </c>
      <c r="L188" t="str">
        <f>VLOOKUP(TRIM(D188),[1]Hospital_Details!$A$2:$D$16,2,FALSE)</f>
        <v>MC-PHC-02</v>
      </c>
      <c r="M188" t="str">
        <f>VLOOKUP(I188,Bill_Tier_Reference!$A$2:$B$5,2,TRUE)</f>
        <v>Tier 3 - Premium</v>
      </c>
      <c r="N188" t="str">
        <f>VLOOKUP(F188,Age_Bracket_Reference!$A$2:$B$6,2,TRUE)</f>
        <v>Adult</v>
      </c>
      <c r="O188" t="str">
        <f>VLOOKUP(C188,State_Coordinator!$A$2:$B$6,2,FALSE)</f>
        <v>Ebiere Amadi</v>
      </c>
      <c r="P188" t="str">
        <f>VLOOKUP(L188,[2]Hospital_Details!$B$2:$D$16,3,FALSE)</f>
        <v>Platinum</v>
      </c>
      <c r="Q188" t="str" cm="1">
        <f t="array" ref="Q188">_xlfn.IFS(ISNUMBER(SEARCH("TB", G188)),Protocol_Reference!$B$2, ISNUMBER(SEARCH("Malaria",G188)),Protocol_Reference!$B$3, ISNUMBER(SEARCH("Typhoid",G188)),Protocol_Reference!$B$4, ISNUMBER(SEARCH("Hypertension", G188,)),Protocol_Reference!$B$5, ISNUMBER(SEARCH("Diabetes", G188)),Protocol_Reference!$B$6, ISNUMBER(SEARCH("Cholera", G188)),Protocol_Reference!$B$7, ISNUMBER(SEARCH("Pneumonia", G188)),Protocol_Reference!$B$8, TRUE, "Out of scope/ Routine Care")</f>
        <v>Out of scope/ Routine Care</v>
      </c>
      <c r="R188" s="16">
        <f>IFERROR(VLOOKUP(E188,Doctor_Directory!$A$2:$D$31,4,FALSE),"Check Doctor Code")</f>
        <v>6000</v>
      </c>
      <c r="S188" s="6" cm="1">
        <f t="array" ref="S188">_xlfn.XLOOKUP(C188,Insurance_Reimbursement_Matrix!$A$2:$A$6,_xlfn.XLOOKUP(_xlfn.XLOOKUP(F188,Age_Bracket_Reference!$A$2:$A$6,Age_Bracket_Reference!$B$2:$B$6,,-1),Insurance_Reimbursement_Matrix!$B$1:$F$1,Insurance_Reimbursement_Matrix!$B$2:$F$6))</f>
        <v>0.71</v>
      </c>
    </row>
    <row r="189" spans="1:19" x14ac:dyDescent="0.25">
      <c r="A189" s="2" t="s">
        <v>546</v>
      </c>
      <c r="B189" s="2" t="s">
        <v>547</v>
      </c>
      <c r="C189" s="2" t="s">
        <v>44</v>
      </c>
      <c r="D189" s="2" t="s">
        <v>138</v>
      </c>
      <c r="E189" s="2" t="s">
        <v>373</v>
      </c>
      <c r="F189" s="2">
        <v>59</v>
      </c>
      <c r="G189" s="2" t="s">
        <v>53</v>
      </c>
      <c r="H189" s="2" t="s">
        <v>445</v>
      </c>
      <c r="I189" s="18">
        <v>47252</v>
      </c>
      <c r="J189" s="2">
        <v>13</v>
      </c>
      <c r="K189" t="str">
        <f>_xlfn.IFNA(VLOOKUP(TRIM(E189),Doctor_Directory!$A$2:$D$31,2,FALSE),"No name")</f>
        <v>Dr. Hadiza Suleiman</v>
      </c>
      <c r="L189" t="str">
        <f>VLOOKUP(TRIM(D189),[1]Hospital_Details!$A$2:$D$16,2,FALSE)</f>
        <v>MC-ABJ-02</v>
      </c>
      <c r="M189" t="str">
        <f>VLOOKUP(I189,Bill_Tier_Reference!$A$2:$B$5,2,TRUE)</f>
        <v>Tier 2 - Standard</v>
      </c>
      <c r="N189" t="str">
        <f>VLOOKUP(F189,Age_Bracket_Reference!$A$2:$B$6,2,TRUE)</f>
        <v>Adult</v>
      </c>
      <c r="O189" t="str">
        <f>VLOOKUP(C189,State_Coordinator!$A$2:$B$6,2,FALSE)</f>
        <v>Ibrahim Garba</v>
      </c>
      <c r="P189" t="str">
        <f>VLOOKUP(L189,[2]Hospital_Details!$B$2:$D$16,3,FALSE)</f>
        <v>Silver</v>
      </c>
      <c r="Q189" t="str" cm="1">
        <f t="array" ref="Q189">_xlfn.IFS(ISNUMBER(SEARCH("TB", G189)),Protocol_Reference!$B$2, ISNUMBER(SEARCH("Malaria",G189)),Protocol_Reference!$B$3, ISNUMBER(SEARCH("Typhoid",G189)),Protocol_Reference!$B$4, ISNUMBER(SEARCH("Hypertension", G189,)),Protocol_Reference!$B$5, ISNUMBER(SEARCH("Diabetes", G189)),Protocol_Reference!$B$6, ISNUMBER(SEARCH("Cholera", G189)),Protocol_Reference!$B$7, ISNUMBER(SEARCH("Pneumonia", G189)),Protocol_Reference!$B$8, TRUE, "Out of scope/ Routine Care")</f>
        <v>Out of scope/ Routine Care</v>
      </c>
      <c r="R189" s="16">
        <f>IFERROR(VLOOKUP(E189,Doctor_Directory!$A$2:$D$31,4,FALSE),"Check Doctor Code")</f>
        <v>6000</v>
      </c>
      <c r="S189" s="6" cm="1">
        <f t="array" ref="S189">_xlfn.XLOOKUP(C189,Insurance_Reimbursement_Matrix!$A$2:$A$6,_xlfn.XLOOKUP(_xlfn.XLOOKUP(F189,Age_Bracket_Reference!$A$2:$A$6,Age_Bracket_Reference!$B$2:$B$6,,-1),Insurance_Reimbursement_Matrix!$B$1:$F$1,Insurance_Reimbursement_Matrix!$B$2:$F$6))</f>
        <v>0.65</v>
      </c>
    </row>
    <row r="190" spans="1:19" x14ac:dyDescent="0.25">
      <c r="A190" s="2" t="s">
        <v>548</v>
      </c>
      <c r="B190" s="2" t="s">
        <v>549</v>
      </c>
      <c r="C190" s="2" t="s">
        <v>19</v>
      </c>
      <c r="D190" s="2" t="s">
        <v>550</v>
      </c>
      <c r="E190" s="2" t="s">
        <v>198</v>
      </c>
      <c r="F190" s="2">
        <v>47</v>
      </c>
      <c r="G190" s="2" t="s">
        <v>81</v>
      </c>
      <c r="H190" s="2" t="s">
        <v>135</v>
      </c>
      <c r="I190" s="18">
        <v>24047</v>
      </c>
      <c r="J190" s="2">
        <v>10</v>
      </c>
      <c r="K190" t="str">
        <f>_xlfn.IFNA(VLOOKUP(TRIM(E190),Doctor_Directory!$A$2:$D$31,2,FALSE),"No name")</f>
        <v>Dr. Bukola Yakubu</v>
      </c>
      <c r="L190" t="str">
        <f>VLOOKUP(TRIM(D190),[1]Hospital_Details!$A$2:$D$16,2,FALSE)</f>
        <v>MC-LAG-03</v>
      </c>
      <c r="M190" t="str">
        <f>VLOOKUP(I190,Bill_Tier_Reference!$A$2:$B$5,2,TRUE)</f>
        <v>Tier 2 - Standard</v>
      </c>
      <c r="N190" t="str">
        <f>VLOOKUP(F190,Age_Bracket_Reference!$A$2:$B$6,2,TRUE)</f>
        <v>Adult</v>
      </c>
      <c r="O190" t="str">
        <f>VLOOKUP(C190,State_Coordinator!$A$2:$B$6,2,FALSE)</f>
        <v>Funmilayo Adebayo</v>
      </c>
      <c r="P190" t="str">
        <f>VLOOKUP(L190,[2]Hospital_Details!$B$2:$D$16,3,FALSE)</f>
        <v>Bronze</v>
      </c>
      <c r="Q190" t="str" cm="1">
        <f t="array" ref="Q190">_xlfn.IFS(ISNUMBER(SEARCH("TB", G190)),Protocol_Reference!$B$2, ISNUMBER(SEARCH("Malaria",G190)),Protocol_Reference!$B$3, ISNUMBER(SEARCH("Typhoid",G190)),Protocol_Reference!$B$4, ISNUMBER(SEARCH("Hypertension", G190,)),Protocol_Reference!$B$5, ISNUMBER(SEARCH("Diabetes", G190)),Protocol_Reference!$B$6, ISNUMBER(SEARCH("Cholera", G190)),Protocol_Reference!$B$7, ISNUMBER(SEARCH("Pneumonia", G190)),Protocol_Reference!$B$8, TRUE, "Out of scope/ Routine Care")</f>
        <v>Directly Observed Treatment Short-course (DOTS) - 6 month regimen</v>
      </c>
      <c r="R190" s="16">
        <f>IFERROR(VLOOKUP(E190,Doctor_Directory!$A$2:$D$31,4,FALSE),"Check Doctor Code")</f>
        <v>7500</v>
      </c>
      <c r="S190" s="6" cm="1">
        <f t="array" ref="S190">_xlfn.XLOOKUP(C190,Insurance_Reimbursement_Matrix!$A$2:$A$6,_xlfn.XLOOKUP(_xlfn.XLOOKUP(F190,Age_Bracket_Reference!$A$2:$A$6,Age_Bracket_Reference!$B$2:$B$6,,-1),Insurance_Reimbursement_Matrix!$B$1:$F$1,Insurance_Reimbursement_Matrix!$B$2:$F$6))</f>
        <v>0.66</v>
      </c>
    </row>
    <row r="191" spans="1:19" x14ac:dyDescent="0.25">
      <c r="A191" s="2" t="s">
        <v>551</v>
      </c>
      <c r="B191" s="2" t="s">
        <v>552</v>
      </c>
      <c r="C191" s="2" t="s">
        <v>44</v>
      </c>
      <c r="D191" s="2" t="s">
        <v>553</v>
      </c>
      <c r="E191" s="2" t="s">
        <v>14</v>
      </c>
      <c r="F191" s="2">
        <v>15</v>
      </c>
      <c r="G191" s="2" t="s">
        <v>65</v>
      </c>
      <c r="H191" s="2" t="s">
        <v>554</v>
      </c>
      <c r="I191" s="18">
        <v>467583</v>
      </c>
      <c r="J191" s="2">
        <v>13</v>
      </c>
      <c r="K191" t="str">
        <f>_xlfn.IFNA(VLOOKUP(TRIM(E191),Doctor_Directory!$A$2:$D$31,2,FALSE),"No name")</f>
        <v>Dr. Blessing Adekunle</v>
      </c>
      <c r="L191" t="str">
        <f>VLOOKUP(TRIM(D191),[1]Hospital_Details!$A$2:$D$16,2,FALSE)</f>
        <v>MC-ABJ-02</v>
      </c>
      <c r="M191" t="str">
        <f>VLOOKUP(I191,Bill_Tier_Reference!$A$2:$B$5,2,TRUE)</f>
        <v>Tier 4 - Elite</v>
      </c>
      <c r="N191" t="str">
        <f>VLOOKUP(F191,Age_Bracket_Reference!$A$2:$B$6,2,TRUE)</f>
        <v>Teen</v>
      </c>
      <c r="O191" t="str">
        <f>VLOOKUP(C191,State_Coordinator!$A$2:$B$6,2,FALSE)</f>
        <v>Ibrahim Garba</v>
      </c>
      <c r="P191" t="str">
        <f>VLOOKUP(L191,[2]Hospital_Details!$B$2:$D$16,3,FALSE)</f>
        <v>Silver</v>
      </c>
      <c r="Q191" t="str" cm="1">
        <f t="array" ref="Q191">_xlfn.IFS(ISNUMBER(SEARCH("TB", G191)),Protocol_Reference!$B$2, ISNUMBER(SEARCH("Malaria",G191)),Protocol_Reference!$B$3, ISNUMBER(SEARCH("Typhoid",G191)),Protocol_Reference!$B$4, ISNUMBER(SEARCH("Hypertension", G191,)),Protocol_Reference!$B$5, ISNUMBER(SEARCH("Diabetes", G191)),Protocol_Reference!$B$6, ISNUMBER(SEARCH("Cholera", G191)),Protocol_Reference!$B$7, ISNUMBER(SEARCH("Pneumonia", G191)),Protocol_Reference!$B$8, TRUE, "Out of scope/ Routine Care")</f>
        <v>Out of scope/ Routine Care</v>
      </c>
      <c r="R191" s="16">
        <f>IFERROR(VLOOKUP(E191,Doctor_Directory!$A$2:$D$31,4,FALSE),"Check Doctor Code")</f>
        <v>10000</v>
      </c>
      <c r="S191" s="6" cm="1">
        <f t="array" ref="S191">_xlfn.XLOOKUP(C191,Insurance_Reimbursement_Matrix!$A$2:$A$6,_xlfn.XLOOKUP(_xlfn.XLOOKUP(F191,Age_Bracket_Reference!$A$2:$A$6,Age_Bracket_Reference!$B$2:$B$6,,-1),Insurance_Reimbursement_Matrix!$B$1:$F$1,Insurance_Reimbursement_Matrix!$B$2:$F$6))</f>
        <v>0.71</v>
      </c>
    </row>
    <row r="192" spans="1:19" x14ac:dyDescent="0.25">
      <c r="A192" s="2" t="s">
        <v>555</v>
      </c>
      <c r="B192" s="2" t="s">
        <v>556</v>
      </c>
      <c r="C192" s="2" t="s">
        <v>44</v>
      </c>
      <c r="D192" s="2" t="s">
        <v>186</v>
      </c>
      <c r="E192" s="2" t="s">
        <v>106</v>
      </c>
      <c r="F192" s="2">
        <v>59</v>
      </c>
      <c r="G192" s="2" t="s">
        <v>29</v>
      </c>
      <c r="H192" s="2" t="s">
        <v>104</v>
      </c>
      <c r="I192" s="18">
        <v>18151</v>
      </c>
      <c r="J192" s="2">
        <v>7</v>
      </c>
      <c r="K192" t="str">
        <f>_xlfn.IFNA(VLOOKUP(TRIM(E192),Doctor_Directory!$A$2:$D$31,2,FALSE),"No name")</f>
        <v>Dr. Oluwaseun Fashola</v>
      </c>
      <c r="L192" t="str">
        <f>VLOOKUP(TRIM(D192),[1]Hospital_Details!$A$2:$D$16,2,FALSE)</f>
        <v>MC-ABJ-03</v>
      </c>
      <c r="M192" t="str">
        <f>VLOOKUP(I192,Bill_Tier_Reference!$A$2:$B$5,2,TRUE)</f>
        <v>Tier 1 - Basic</v>
      </c>
      <c r="N192" t="str">
        <f>VLOOKUP(F192,Age_Bracket_Reference!$A$2:$B$6,2,TRUE)</f>
        <v>Adult</v>
      </c>
      <c r="O192" t="str">
        <f>VLOOKUP(C192,State_Coordinator!$A$2:$B$6,2,FALSE)</f>
        <v>Ibrahim Garba</v>
      </c>
      <c r="P192" t="str">
        <f>VLOOKUP(L192,[2]Hospital_Details!$B$2:$D$16,3,FALSE)</f>
        <v>Silver</v>
      </c>
      <c r="Q192" t="str" cm="1">
        <f t="array" ref="Q192">_xlfn.IFS(ISNUMBER(SEARCH("TB", G192)),Protocol_Reference!$B$2, ISNUMBER(SEARCH("Malaria",G192)),Protocol_Reference!$B$3, ISNUMBER(SEARCH("Typhoid",G192)),Protocol_Reference!$B$4, ISNUMBER(SEARCH("Hypertension", G192,)),Protocol_Reference!$B$5, ISNUMBER(SEARCH("Diabetes", G192)),Protocol_Reference!$B$6, ISNUMBER(SEARCH("Cholera", G192)),Protocol_Reference!$B$7, ISNUMBER(SEARCH("Pneumonia", G192)),Protocol_Reference!$B$8, TRUE, "Out of scope/ Routine Care")</f>
        <v>Artemisinin-based Combination Therapy (ACT) - 3-day course</v>
      </c>
      <c r="R192" s="16">
        <f>IFERROR(VLOOKUP(E192,Doctor_Directory!$A$2:$D$31,4,FALSE),"Check Doctor Code")</f>
        <v>6000</v>
      </c>
      <c r="S192" s="6" cm="1">
        <f t="array" ref="S192">_xlfn.XLOOKUP(C192,Insurance_Reimbursement_Matrix!$A$2:$A$6,_xlfn.XLOOKUP(_xlfn.XLOOKUP(F192,Age_Bracket_Reference!$A$2:$A$6,Age_Bracket_Reference!$B$2:$B$6,,-1),Insurance_Reimbursement_Matrix!$B$1:$F$1,Insurance_Reimbursement_Matrix!$B$2:$F$6))</f>
        <v>0.65</v>
      </c>
    </row>
    <row r="193" spans="1:19" x14ac:dyDescent="0.25">
      <c r="A193" s="2" t="s">
        <v>557</v>
      </c>
      <c r="B193" s="2" t="s">
        <v>558</v>
      </c>
      <c r="C193" s="2" t="s">
        <v>44</v>
      </c>
      <c r="D193" s="2" t="s">
        <v>186</v>
      </c>
      <c r="E193" s="2" t="s">
        <v>80</v>
      </c>
      <c r="F193" s="2">
        <v>6</v>
      </c>
      <c r="G193" s="2" t="s">
        <v>156</v>
      </c>
      <c r="H193" s="2" t="s">
        <v>23</v>
      </c>
      <c r="I193" s="18">
        <v>236185</v>
      </c>
      <c r="J193" s="2">
        <v>1</v>
      </c>
      <c r="K193" t="str">
        <f>_xlfn.IFNA(VLOOKUP(TRIM(E193),Doctor_Directory!$A$2:$D$31,2,FALSE),"No name")</f>
        <v>Dr. Folake Bamidele</v>
      </c>
      <c r="L193" t="str">
        <f>VLOOKUP(TRIM(D193),[1]Hospital_Details!$A$2:$D$16,2,FALSE)</f>
        <v>MC-ABJ-03</v>
      </c>
      <c r="M193" t="str">
        <f>VLOOKUP(I193,Bill_Tier_Reference!$A$2:$B$5,2,TRUE)</f>
        <v>Tier 4 - Elite</v>
      </c>
      <c r="N193" t="str">
        <f>VLOOKUP(F193,Age_Bracket_Reference!$A$2:$B$6,2,TRUE)</f>
        <v>Child</v>
      </c>
      <c r="O193" t="str">
        <f>VLOOKUP(C193,State_Coordinator!$A$2:$B$6,2,FALSE)</f>
        <v>Ibrahim Garba</v>
      </c>
      <c r="P193" t="str">
        <f>VLOOKUP(L193,[2]Hospital_Details!$B$2:$D$16,3,FALSE)</f>
        <v>Silver</v>
      </c>
      <c r="Q193" t="str" cm="1">
        <f t="array" ref="Q193">_xlfn.IFS(ISNUMBER(SEARCH("TB", G193)),Protocol_Reference!$B$2, ISNUMBER(SEARCH("Malaria",G193)),Protocol_Reference!$B$3, ISNUMBER(SEARCH("Typhoid",G193)),Protocol_Reference!$B$4, ISNUMBER(SEARCH("Hypertension", G193,)),Protocol_Reference!$B$5, ISNUMBER(SEARCH("Diabetes", G193)),Protocol_Reference!$B$6, ISNUMBER(SEARCH("Cholera", G193)),Protocol_Reference!$B$7, ISNUMBER(SEARCH("Pneumonia", G193)),Protocol_Reference!$B$8, TRUE, "Out of scope/ Routine Care")</f>
        <v>Metformin 500mg twice daily + dietary counselling</v>
      </c>
      <c r="R193" s="16">
        <f>IFERROR(VLOOKUP(E193,Doctor_Directory!$A$2:$D$31,4,FALSE),"Check Doctor Code")</f>
        <v>5000</v>
      </c>
      <c r="S193" s="6" cm="1">
        <f t="array" ref="S193">_xlfn.XLOOKUP(C193,Insurance_Reimbursement_Matrix!$A$2:$A$6,_xlfn.XLOOKUP(_xlfn.XLOOKUP(F193,Age_Bracket_Reference!$A$2:$A$6,Age_Bracket_Reference!$B$2:$B$6,,-1),Insurance_Reimbursement_Matrix!$B$1:$F$1,Insurance_Reimbursement_Matrix!$B$2:$F$6))</f>
        <v>0.84</v>
      </c>
    </row>
    <row r="194" spans="1:19" x14ac:dyDescent="0.25">
      <c r="A194" s="2" t="s">
        <v>559</v>
      </c>
      <c r="B194" s="2" t="s">
        <v>560</v>
      </c>
      <c r="C194" s="2" t="s">
        <v>44</v>
      </c>
      <c r="D194" s="2" t="s">
        <v>45</v>
      </c>
      <c r="E194" s="2" t="s">
        <v>58</v>
      </c>
      <c r="F194" s="2">
        <v>83</v>
      </c>
      <c r="G194" s="2" t="s">
        <v>53</v>
      </c>
      <c r="H194" s="2" t="s">
        <v>358</v>
      </c>
      <c r="I194" s="18">
        <v>400529</v>
      </c>
      <c r="J194" s="2">
        <v>14</v>
      </c>
      <c r="K194" t="str">
        <f>_xlfn.IFNA(VLOOKUP(TRIM(E194),Doctor_Directory!$A$2:$D$31,2,FALSE),"No name")</f>
        <v>Dr. Damilola Chidozie</v>
      </c>
      <c r="L194" t="str">
        <f>VLOOKUP(TRIM(D194),[1]Hospital_Details!$A$2:$D$16,2,FALSE)</f>
        <v>MC-ABJ-01</v>
      </c>
      <c r="M194" t="str">
        <f>VLOOKUP(I194,Bill_Tier_Reference!$A$2:$B$5,2,TRUE)</f>
        <v>Tier 4 - Elite</v>
      </c>
      <c r="N194" t="str">
        <f>VLOOKUP(F194,Age_Bracket_Reference!$A$2:$B$6,2,TRUE)</f>
        <v>Senior</v>
      </c>
      <c r="O194" t="str">
        <f>VLOOKUP(C194,State_Coordinator!$A$2:$B$6,2,FALSE)</f>
        <v>Ibrahim Garba</v>
      </c>
      <c r="P194" t="str">
        <f>VLOOKUP(L194,[2]Hospital_Details!$B$2:$D$16,3,FALSE)</f>
        <v>Platinum</v>
      </c>
      <c r="Q194" t="str" cm="1">
        <f t="array" ref="Q194">_xlfn.IFS(ISNUMBER(SEARCH("TB", G194)),Protocol_Reference!$B$2, ISNUMBER(SEARCH("Malaria",G194)),Protocol_Reference!$B$3, ISNUMBER(SEARCH("Typhoid",G194)),Protocol_Reference!$B$4, ISNUMBER(SEARCH("Hypertension", G194,)),Protocol_Reference!$B$5, ISNUMBER(SEARCH("Diabetes", G194)),Protocol_Reference!$B$6, ISNUMBER(SEARCH("Cholera", G194)),Protocol_Reference!$B$7, ISNUMBER(SEARCH("Pneumonia", G194)),Protocol_Reference!$B$8, TRUE, "Out of scope/ Routine Care")</f>
        <v>Out of scope/ Routine Care</v>
      </c>
      <c r="R194" s="16">
        <f>IFERROR(VLOOKUP(E194,Doctor_Directory!$A$2:$D$31,4,FALSE),"Check Doctor Code")</f>
        <v>6000</v>
      </c>
      <c r="S194" s="6" cm="1">
        <f t="array" ref="S194">_xlfn.XLOOKUP(C194,Insurance_Reimbursement_Matrix!$A$2:$A$6,_xlfn.XLOOKUP(_xlfn.XLOOKUP(F194,Age_Bracket_Reference!$A$2:$A$6,Age_Bracket_Reference!$B$2:$B$6,,-1),Insurance_Reimbursement_Matrix!$B$1:$F$1,Insurance_Reimbursement_Matrix!$B$2:$F$6))</f>
        <v>0.79</v>
      </c>
    </row>
    <row r="195" spans="1:19" x14ac:dyDescent="0.25">
      <c r="A195" s="2" t="s">
        <v>561</v>
      </c>
      <c r="B195" s="2" t="s">
        <v>562</v>
      </c>
      <c r="C195" s="2" t="s">
        <v>19</v>
      </c>
      <c r="D195" s="2" t="s">
        <v>102</v>
      </c>
      <c r="E195" s="2" t="s">
        <v>180</v>
      </c>
      <c r="F195" s="2">
        <v>70</v>
      </c>
      <c r="G195" s="2" t="s">
        <v>191</v>
      </c>
      <c r="H195" s="2" t="s">
        <v>316</v>
      </c>
      <c r="I195" s="18">
        <v>27774</v>
      </c>
      <c r="J195" s="2">
        <v>12</v>
      </c>
      <c r="K195" t="str">
        <f>_xlfn.IFNA(VLOOKUP(TRIM(E195),Doctor_Directory!$A$2:$D$31,2,FALSE),"No name")</f>
        <v>Dr. Maryam Eneh</v>
      </c>
      <c r="L195" t="str">
        <f>VLOOKUP(TRIM(D195),[1]Hospital_Details!$A$2:$D$16,2,FALSE)</f>
        <v>MC-LAG-03</v>
      </c>
      <c r="M195" t="str">
        <f>VLOOKUP(I195,Bill_Tier_Reference!$A$2:$B$5,2,TRUE)</f>
        <v>Tier 2 - Standard</v>
      </c>
      <c r="N195" t="str">
        <f>VLOOKUP(F195,Age_Bracket_Reference!$A$2:$B$6,2,TRUE)</f>
        <v>Senior</v>
      </c>
      <c r="O195" t="str">
        <f>VLOOKUP(C195,State_Coordinator!$A$2:$B$6,2,FALSE)</f>
        <v>Funmilayo Adebayo</v>
      </c>
      <c r="P195" t="str">
        <f>VLOOKUP(L195,[2]Hospital_Details!$B$2:$D$16,3,FALSE)</f>
        <v>Bronze</v>
      </c>
      <c r="Q195" t="str" cm="1">
        <f t="array" ref="Q195">_xlfn.IFS(ISNUMBER(SEARCH("TB", G195)),Protocol_Reference!$B$2, ISNUMBER(SEARCH("Malaria",G195)),Protocol_Reference!$B$3, ISNUMBER(SEARCH("Typhoid",G195)),Protocol_Reference!$B$4, ISNUMBER(SEARCH("Hypertension", G195,)),Protocol_Reference!$B$5, ISNUMBER(SEARCH("Diabetes", G195)),Protocol_Reference!$B$6, ISNUMBER(SEARCH("Cholera", G195)),Protocol_Reference!$B$7, ISNUMBER(SEARCH("Pneumonia", G195)),Protocol_Reference!$B$8, TRUE, "Out of scope/ Routine Care")</f>
        <v>Directly Observed Treatment Short-course (DOTS) - 6 month regimen</v>
      </c>
      <c r="R195" s="16">
        <f>IFERROR(VLOOKUP(E195,Doctor_Directory!$A$2:$D$31,4,FALSE),"Check Doctor Code")</f>
        <v>10000</v>
      </c>
      <c r="S195" s="6" cm="1">
        <f t="array" ref="S195">_xlfn.XLOOKUP(C195,Insurance_Reimbursement_Matrix!$A$2:$A$6,_xlfn.XLOOKUP(_xlfn.XLOOKUP(F195,Age_Bracket_Reference!$A$2:$A$6,Age_Bracket_Reference!$B$2:$B$6,,-1),Insurance_Reimbursement_Matrix!$B$1:$F$1,Insurance_Reimbursement_Matrix!$B$2:$F$6))</f>
        <v>0.8</v>
      </c>
    </row>
    <row r="196" spans="1:19" x14ac:dyDescent="0.25">
      <c r="A196" s="2" t="s">
        <v>563</v>
      </c>
      <c r="B196" s="2" t="s">
        <v>564</v>
      </c>
      <c r="C196" s="2" t="s">
        <v>19</v>
      </c>
      <c r="D196" s="2" t="s">
        <v>160</v>
      </c>
      <c r="E196" s="2" t="s">
        <v>14</v>
      </c>
      <c r="F196" s="2">
        <v>87</v>
      </c>
      <c r="G196" s="2" t="s">
        <v>53</v>
      </c>
      <c r="H196" s="2" t="s">
        <v>139</v>
      </c>
      <c r="I196" s="18">
        <v>54860</v>
      </c>
      <c r="J196" s="2">
        <v>8</v>
      </c>
      <c r="K196" t="str">
        <f>_xlfn.IFNA(VLOOKUP(TRIM(E196),Doctor_Directory!$A$2:$D$31,2,FALSE),"No name")</f>
        <v>Dr. Blessing Adekunle</v>
      </c>
      <c r="L196" t="str">
        <f>VLOOKUP(TRIM(D196),[1]Hospital_Details!$A$2:$D$16,2,FALSE)</f>
        <v>MC-LAG-02</v>
      </c>
      <c r="M196" t="str">
        <f>VLOOKUP(I196,Bill_Tier_Reference!$A$2:$B$5,2,TRUE)</f>
        <v>Tier 2 - Standard</v>
      </c>
      <c r="N196" t="str">
        <f>VLOOKUP(F196,Age_Bracket_Reference!$A$2:$B$6,2,TRUE)</f>
        <v>Senior</v>
      </c>
      <c r="O196" t="str">
        <f>VLOOKUP(C196,State_Coordinator!$A$2:$B$6,2,FALSE)</f>
        <v>Funmilayo Adebayo</v>
      </c>
      <c r="P196" t="str">
        <f>VLOOKUP(L196,[2]Hospital_Details!$B$2:$D$16,3,FALSE)</f>
        <v>Bronze</v>
      </c>
      <c r="Q196" t="str" cm="1">
        <f t="array" ref="Q196">_xlfn.IFS(ISNUMBER(SEARCH("TB", G196)),Protocol_Reference!$B$2, ISNUMBER(SEARCH("Malaria",G196)),Protocol_Reference!$B$3, ISNUMBER(SEARCH("Typhoid",G196)),Protocol_Reference!$B$4, ISNUMBER(SEARCH("Hypertension", G196,)),Protocol_Reference!$B$5, ISNUMBER(SEARCH("Diabetes", G196)),Protocol_Reference!$B$6, ISNUMBER(SEARCH("Cholera", G196)),Protocol_Reference!$B$7, ISNUMBER(SEARCH("Pneumonia", G196)),Protocol_Reference!$B$8, TRUE, "Out of scope/ Routine Care")</f>
        <v>Out of scope/ Routine Care</v>
      </c>
      <c r="R196" s="16">
        <f>IFERROR(VLOOKUP(E196,Doctor_Directory!$A$2:$D$31,4,FALSE),"Check Doctor Code")</f>
        <v>10000</v>
      </c>
      <c r="S196" s="6" cm="1">
        <f t="array" ref="S196">_xlfn.XLOOKUP(C196,Insurance_Reimbursement_Matrix!$A$2:$A$6,_xlfn.XLOOKUP(_xlfn.XLOOKUP(F196,Age_Bracket_Reference!$A$2:$A$6,Age_Bracket_Reference!$B$2:$B$6,,-1),Insurance_Reimbursement_Matrix!$B$1:$F$1,Insurance_Reimbursement_Matrix!$B$2:$F$6))</f>
        <v>0.8</v>
      </c>
    </row>
    <row r="197" spans="1:19" x14ac:dyDescent="0.25">
      <c r="A197" s="2" t="s">
        <v>565</v>
      </c>
      <c r="B197" s="2" t="s">
        <v>527</v>
      </c>
      <c r="C197" s="2" t="s">
        <v>26</v>
      </c>
      <c r="D197" s="2" t="s">
        <v>150</v>
      </c>
      <c r="E197" s="2" t="s">
        <v>74</v>
      </c>
      <c r="F197" s="2">
        <v>15</v>
      </c>
      <c r="G197" s="2" t="s">
        <v>121</v>
      </c>
      <c r="H197" s="2" t="s">
        <v>336</v>
      </c>
      <c r="I197" s="18">
        <v>60299</v>
      </c>
      <c r="J197" s="2">
        <v>4</v>
      </c>
      <c r="K197" t="str">
        <f>_xlfn.IFNA(VLOOKUP(TRIM(E197),Doctor_Directory!$A$2:$D$31,2,FALSE),"No name")</f>
        <v>Dr. Oluwaseun Okoye</v>
      </c>
      <c r="L197" t="str">
        <f>VLOOKUP(TRIM(D197),[1]Hospital_Details!$A$2:$D$16,2,FALSE)</f>
        <v>MC-KAN-01</v>
      </c>
      <c r="M197" t="str">
        <f>VLOOKUP(I197,Bill_Tier_Reference!$A$2:$B$5,2,TRUE)</f>
        <v>Tier 2 - Standard</v>
      </c>
      <c r="N197" t="str">
        <f>VLOOKUP(F197,Age_Bracket_Reference!$A$2:$B$6,2,TRUE)</f>
        <v>Teen</v>
      </c>
      <c r="O197" t="str">
        <f>VLOOKUP(C197,State_Coordinator!$A$2:$B$6,2,FALSE)</f>
        <v>Hauwa Mustapha</v>
      </c>
      <c r="P197" t="str">
        <f>VLOOKUP(L197,[2]Hospital_Details!$B$2:$D$16,3,FALSE)</f>
        <v>Silver</v>
      </c>
      <c r="Q197" t="str" cm="1">
        <f t="array" ref="Q197">_xlfn.IFS(ISNUMBER(SEARCH("TB", G197)),Protocol_Reference!$B$2, ISNUMBER(SEARCH("Malaria",G197)),Protocol_Reference!$B$3, ISNUMBER(SEARCH("Typhoid",G197)),Protocol_Reference!$B$4, ISNUMBER(SEARCH("Hypertension", G197,)),Protocol_Reference!$B$5, ISNUMBER(SEARCH("Diabetes", G197)),Protocol_Reference!$B$6, ISNUMBER(SEARCH("Cholera", G197)),Protocol_Reference!$B$7, ISNUMBER(SEARCH("Pneumonia", G197)),Protocol_Reference!$B$8, TRUE, "Out of scope/ Routine Care")</f>
        <v>Directly Observed Treatment Short-course (DOTS) - 6 month regimen</v>
      </c>
      <c r="R197" s="16">
        <f>IFERROR(VLOOKUP(E197,Doctor_Directory!$A$2:$D$31,4,FALSE),"Check Doctor Code")</f>
        <v>8500</v>
      </c>
      <c r="S197" s="6" cm="1">
        <f t="array" ref="S197">_xlfn.XLOOKUP(C197,Insurance_Reimbursement_Matrix!$A$2:$A$6,_xlfn.XLOOKUP(_xlfn.XLOOKUP(F197,Age_Bracket_Reference!$A$2:$A$6,Age_Bracket_Reference!$B$2:$B$6,,-1),Insurance_Reimbursement_Matrix!$B$1:$F$1,Insurance_Reimbursement_Matrix!$B$2:$F$6))</f>
        <v>0.71</v>
      </c>
    </row>
    <row r="198" spans="1:19" x14ac:dyDescent="0.25">
      <c r="A198" s="2" t="s">
        <v>566</v>
      </c>
      <c r="B198" s="2" t="s">
        <v>567</v>
      </c>
      <c r="C198" s="2" t="s">
        <v>37</v>
      </c>
      <c r="D198" s="2" t="s">
        <v>79</v>
      </c>
      <c r="E198" s="2" t="s">
        <v>14</v>
      </c>
      <c r="F198" s="2">
        <v>77</v>
      </c>
      <c r="G198" s="2" t="s">
        <v>65</v>
      </c>
      <c r="H198" s="2" t="s">
        <v>152</v>
      </c>
      <c r="I198" s="18">
        <v>223192</v>
      </c>
      <c r="J198" s="2">
        <v>8</v>
      </c>
      <c r="K198" t="str">
        <f>_xlfn.IFNA(VLOOKUP(TRIM(E198),Doctor_Directory!$A$2:$D$31,2,FALSE),"No name")</f>
        <v>Dr. Blessing Adekunle</v>
      </c>
      <c r="L198" t="str">
        <f>VLOOKUP(TRIM(D198),[1]Hospital_Details!$A$2:$D$16,2,FALSE)</f>
        <v>MC-ENU-01</v>
      </c>
      <c r="M198" t="str">
        <f>VLOOKUP(I198,Bill_Tier_Reference!$A$2:$B$5,2,TRUE)</f>
        <v>Tier 4 - Elite</v>
      </c>
      <c r="N198" t="str">
        <f>VLOOKUP(F198,Age_Bracket_Reference!$A$2:$B$6,2,TRUE)</f>
        <v>Senior</v>
      </c>
      <c r="O198" t="str">
        <f>VLOOKUP(C198,State_Coordinator!$A$2:$B$6,2,FALSE)</f>
        <v>Chidiebere Okoro</v>
      </c>
      <c r="P198" t="str">
        <f>VLOOKUP(L198,[2]Hospital_Details!$B$2:$D$16,3,FALSE)</f>
        <v>Gold</v>
      </c>
      <c r="Q198" t="str" cm="1">
        <f t="array" ref="Q198">_xlfn.IFS(ISNUMBER(SEARCH("TB", G198)),Protocol_Reference!$B$2, ISNUMBER(SEARCH("Malaria",G198)),Protocol_Reference!$B$3, ISNUMBER(SEARCH("Typhoid",G198)),Protocol_Reference!$B$4, ISNUMBER(SEARCH("Hypertension", G198,)),Protocol_Reference!$B$5, ISNUMBER(SEARCH("Diabetes", G198)),Protocol_Reference!$B$6, ISNUMBER(SEARCH("Cholera", G198)),Protocol_Reference!$B$7, ISNUMBER(SEARCH("Pneumonia", G198)),Protocol_Reference!$B$8, TRUE, "Out of scope/ Routine Care")</f>
        <v>Out of scope/ Routine Care</v>
      </c>
      <c r="R198" s="16">
        <f>IFERROR(VLOOKUP(E198,Doctor_Directory!$A$2:$D$31,4,FALSE),"Check Doctor Code")</f>
        <v>10000</v>
      </c>
      <c r="S198" s="6" cm="1">
        <f t="array" ref="S198">_xlfn.XLOOKUP(C198,Insurance_Reimbursement_Matrix!$A$2:$A$6,_xlfn.XLOOKUP(_xlfn.XLOOKUP(F198,Age_Bracket_Reference!$A$2:$A$6,Age_Bracket_Reference!$B$2:$B$6,,-1),Insurance_Reimbursement_Matrix!$B$1:$F$1,Insurance_Reimbursement_Matrix!$B$2:$F$6))</f>
        <v>0.76</v>
      </c>
    </row>
    <row r="199" spans="1:19" x14ac:dyDescent="0.25">
      <c r="A199" s="2" t="s">
        <v>568</v>
      </c>
      <c r="B199" s="2" t="s">
        <v>569</v>
      </c>
      <c r="C199" s="2" t="s">
        <v>44</v>
      </c>
      <c r="D199" s="2" t="s">
        <v>45</v>
      </c>
      <c r="E199" s="2" t="s">
        <v>373</v>
      </c>
      <c r="F199" s="2">
        <v>65</v>
      </c>
      <c r="G199" s="2" t="s">
        <v>253</v>
      </c>
      <c r="H199" s="2" t="s">
        <v>361</v>
      </c>
      <c r="I199" s="18">
        <v>57845</v>
      </c>
      <c r="J199" s="2">
        <v>5</v>
      </c>
      <c r="K199" t="str">
        <f>_xlfn.IFNA(VLOOKUP(TRIM(E199),Doctor_Directory!$A$2:$D$31,2,FALSE),"No name")</f>
        <v>Dr. Hadiza Suleiman</v>
      </c>
      <c r="L199" t="str">
        <f>VLOOKUP(TRIM(D199),[1]Hospital_Details!$A$2:$D$16,2,FALSE)</f>
        <v>MC-ABJ-01</v>
      </c>
      <c r="M199" t="str">
        <f>VLOOKUP(I199,Bill_Tier_Reference!$A$2:$B$5,2,TRUE)</f>
        <v>Tier 2 - Standard</v>
      </c>
      <c r="N199" t="str">
        <f>VLOOKUP(F199,Age_Bracket_Reference!$A$2:$B$6,2,TRUE)</f>
        <v>Senior</v>
      </c>
      <c r="O199" t="str">
        <f>VLOOKUP(C199,State_Coordinator!$A$2:$B$6,2,FALSE)</f>
        <v>Ibrahim Garba</v>
      </c>
      <c r="P199" t="str">
        <f>VLOOKUP(L199,[2]Hospital_Details!$B$2:$D$16,3,FALSE)</f>
        <v>Platinum</v>
      </c>
      <c r="Q199" t="str" cm="1">
        <f t="array" ref="Q199">_xlfn.IFS(ISNUMBER(SEARCH("TB", G199)),Protocol_Reference!$B$2, ISNUMBER(SEARCH("Malaria",G199)),Protocol_Reference!$B$3, ISNUMBER(SEARCH("Typhoid",G199)),Protocol_Reference!$B$4, ISNUMBER(SEARCH("Hypertension", G199,)),Protocol_Reference!$B$5, ISNUMBER(SEARCH("Diabetes", G199)),Protocol_Reference!$B$6, ISNUMBER(SEARCH("Cholera", G199)),Protocol_Reference!$B$7, ISNUMBER(SEARCH("Pneumonia", G199)),Protocol_Reference!$B$8, TRUE, "Out of scope/ Routine Care")</f>
        <v>Artemisinin-based Combination Therapy (ACT) - 3-day course</v>
      </c>
      <c r="R199" s="16">
        <f>IFERROR(VLOOKUP(E199,Doctor_Directory!$A$2:$D$31,4,FALSE),"Check Doctor Code")</f>
        <v>6000</v>
      </c>
      <c r="S199" s="6" cm="1">
        <f t="array" ref="S199">_xlfn.XLOOKUP(C199,Insurance_Reimbursement_Matrix!$A$2:$A$6,_xlfn.XLOOKUP(_xlfn.XLOOKUP(F199,Age_Bracket_Reference!$A$2:$A$6,Age_Bracket_Reference!$B$2:$B$6,,-1),Insurance_Reimbursement_Matrix!$B$1:$F$1,Insurance_Reimbursement_Matrix!$B$2:$F$6))</f>
        <v>0.79</v>
      </c>
    </row>
    <row r="200" spans="1:19" x14ac:dyDescent="0.25">
      <c r="A200" s="2" t="s">
        <v>570</v>
      </c>
      <c r="B200" s="2" t="s">
        <v>571</v>
      </c>
      <c r="C200" s="2" t="s">
        <v>44</v>
      </c>
      <c r="D200" s="2" t="s">
        <v>138</v>
      </c>
      <c r="E200" s="2" t="s">
        <v>116</v>
      </c>
      <c r="F200" s="2">
        <v>36</v>
      </c>
      <c r="G200" s="2" t="s">
        <v>121</v>
      </c>
      <c r="H200" s="2" t="s">
        <v>54</v>
      </c>
      <c r="I200" s="18">
        <v>423976</v>
      </c>
      <c r="J200" s="2">
        <v>1</v>
      </c>
      <c r="K200" t="str">
        <f>_xlfn.IFNA(VLOOKUP(TRIM(E200),Doctor_Directory!$A$2:$D$31,2,FALSE),"No name")</f>
        <v>Dr. Tunde Usman</v>
      </c>
      <c r="L200" t="str">
        <f>VLOOKUP(TRIM(D200),[1]Hospital_Details!$A$2:$D$16,2,FALSE)</f>
        <v>MC-ABJ-02</v>
      </c>
      <c r="M200" t="str">
        <f>VLOOKUP(I200,Bill_Tier_Reference!$A$2:$B$5,2,TRUE)</f>
        <v>Tier 4 - Elite</v>
      </c>
      <c r="N200" t="str">
        <f>VLOOKUP(F200,Age_Bracket_Reference!$A$2:$B$6,2,TRUE)</f>
        <v>Adult</v>
      </c>
      <c r="O200" t="str">
        <f>VLOOKUP(C200,State_Coordinator!$A$2:$B$6,2,FALSE)</f>
        <v>Ibrahim Garba</v>
      </c>
      <c r="P200" t="str">
        <f>VLOOKUP(L200,[2]Hospital_Details!$B$2:$D$16,3,FALSE)</f>
        <v>Silver</v>
      </c>
      <c r="Q200" t="str" cm="1">
        <f t="array" ref="Q200">_xlfn.IFS(ISNUMBER(SEARCH("TB", G200)),Protocol_Reference!$B$2, ISNUMBER(SEARCH("Malaria",G200)),Protocol_Reference!$B$3, ISNUMBER(SEARCH("Typhoid",G200)),Protocol_Reference!$B$4, ISNUMBER(SEARCH("Hypertension", G200,)),Protocol_Reference!$B$5, ISNUMBER(SEARCH("Diabetes", G200)),Protocol_Reference!$B$6, ISNUMBER(SEARCH("Cholera", G200)),Protocol_Reference!$B$7, ISNUMBER(SEARCH("Pneumonia", G200)),Protocol_Reference!$B$8, TRUE, "Out of scope/ Routine Care")</f>
        <v>Directly Observed Treatment Short-course (DOTS) - 6 month regimen</v>
      </c>
      <c r="R200" s="16">
        <f>IFERROR(VLOOKUP(E200,Doctor_Directory!$A$2:$D$31,4,FALSE),"Check Doctor Code")</f>
        <v>10000</v>
      </c>
      <c r="S200" s="6" cm="1">
        <f t="array" ref="S200">_xlfn.XLOOKUP(C200,Insurance_Reimbursement_Matrix!$A$2:$A$6,_xlfn.XLOOKUP(_xlfn.XLOOKUP(F200,Age_Bracket_Reference!$A$2:$A$6,Age_Bracket_Reference!$B$2:$B$6,,-1),Insurance_Reimbursement_Matrix!$B$1:$F$1,Insurance_Reimbursement_Matrix!$B$2:$F$6))</f>
        <v>0.65</v>
      </c>
    </row>
    <row r="201" spans="1:19" x14ac:dyDescent="0.25">
      <c r="A201" s="2" t="s">
        <v>572</v>
      </c>
      <c r="B201" s="2" t="s">
        <v>573</v>
      </c>
      <c r="C201" s="2" t="s">
        <v>37</v>
      </c>
      <c r="D201" s="2" t="s">
        <v>97</v>
      </c>
      <c r="E201" s="2" t="s">
        <v>195</v>
      </c>
      <c r="F201" s="2">
        <v>54</v>
      </c>
      <c r="G201" s="2" t="s">
        <v>156</v>
      </c>
      <c r="H201" s="2" t="s">
        <v>60</v>
      </c>
      <c r="I201" s="18">
        <v>44671</v>
      </c>
      <c r="J201" s="2">
        <v>14</v>
      </c>
      <c r="K201" t="str">
        <f>_xlfn.IFNA(VLOOKUP(TRIM(E201),Doctor_Directory!$A$2:$D$31,2,FALSE),"No name")</f>
        <v>Dr. Oluwaseun Ogunleye</v>
      </c>
      <c r="L201" t="str">
        <f>VLOOKUP(TRIM(D201),[1]Hospital_Details!$A$2:$D$16,2,FALSE)</f>
        <v>MC-ENU-02</v>
      </c>
      <c r="M201" t="str">
        <f>VLOOKUP(I201,Bill_Tier_Reference!$A$2:$B$5,2,TRUE)</f>
        <v>Tier 2 - Standard</v>
      </c>
      <c r="N201" t="str">
        <f>VLOOKUP(F201,Age_Bracket_Reference!$A$2:$B$6,2,TRUE)</f>
        <v>Adult</v>
      </c>
      <c r="O201" t="str">
        <f>VLOOKUP(C201,State_Coordinator!$A$2:$B$6,2,FALSE)</f>
        <v>Chidiebere Okoro</v>
      </c>
      <c r="P201" t="str">
        <f>VLOOKUP(L201,[2]Hospital_Details!$B$2:$D$16,3,FALSE)</f>
        <v>Bronze</v>
      </c>
      <c r="Q201" t="str" cm="1">
        <f t="array" ref="Q201">_xlfn.IFS(ISNUMBER(SEARCH("TB", G201)),Protocol_Reference!$B$2, ISNUMBER(SEARCH("Malaria",G201)),Protocol_Reference!$B$3, ISNUMBER(SEARCH("Typhoid",G201)),Protocol_Reference!$B$4, ISNUMBER(SEARCH("Hypertension", G201,)),Protocol_Reference!$B$5, ISNUMBER(SEARCH("Diabetes", G201)),Protocol_Reference!$B$6, ISNUMBER(SEARCH("Cholera", G201)),Protocol_Reference!$B$7, ISNUMBER(SEARCH("Pneumonia", G201)),Protocol_Reference!$B$8, TRUE, "Out of scope/ Routine Care")</f>
        <v>Metformin 500mg twice daily + dietary counselling</v>
      </c>
      <c r="R201" s="16">
        <f>IFERROR(VLOOKUP(E201,Doctor_Directory!$A$2:$D$31,4,FALSE),"Check Doctor Code")</f>
        <v>4500</v>
      </c>
      <c r="S201" s="6" cm="1">
        <f t="array" ref="S201">_xlfn.XLOOKUP(C201,Insurance_Reimbursement_Matrix!$A$2:$A$6,_xlfn.XLOOKUP(_xlfn.XLOOKUP(F201,Age_Bracket_Reference!$A$2:$A$6,Age_Bracket_Reference!$B$2:$B$6,,-1),Insurance_Reimbursement_Matrix!$B$1:$F$1,Insurance_Reimbursement_Matrix!$B$2:$F$6))</f>
        <v>0.68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"/>
  <sheetViews>
    <sheetView workbookViewId="0">
      <pane ySplit="1" topLeftCell="A2" activePane="bottomLeft" state="frozen"/>
      <selection pane="bottomLeft" activeCell="F5" sqref="F5"/>
    </sheetView>
  </sheetViews>
  <sheetFormatPr defaultRowHeight="15" x14ac:dyDescent="0.25"/>
  <cols>
    <col min="1" max="1" width="12" customWidth="1"/>
    <col min="2" max="2" width="22" customWidth="1"/>
    <col min="3" max="3" width="20" customWidth="1"/>
    <col min="4" max="4" width="25.85546875" style="14" customWidth="1"/>
    <col min="5" max="5" width="9.140625" customWidth="1"/>
  </cols>
  <sheetData>
    <row r="1" spans="1:4" x14ac:dyDescent="0.25">
      <c r="A1" s="1" t="s">
        <v>4</v>
      </c>
      <c r="B1" s="1" t="s">
        <v>574</v>
      </c>
      <c r="C1" s="1" t="s">
        <v>575</v>
      </c>
      <c r="D1" s="12" t="s">
        <v>576</v>
      </c>
    </row>
    <row r="2" spans="1:4" x14ac:dyDescent="0.25">
      <c r="A2" s="2" t="s">
        <v>134</v>
      </c>
      <c r="B2" s="2" t="s">
        <v>577</v>
      </c>
      <c r="C2" s="2" t="s">
        <v>578</v>
      </c>
      <c r="D2" s="13">
        <v>4000</v>
      </c>
    </row>
    <row r="3" spans="1:4" x14ac:dyDescent="0.25">
      <c r="A3" s="2" t="s">
        <v>351</v>
      </c>
      <c r="B3" s="2" t="s">
        <v>579</v>
      </c>
      <c r="C3" s="2" t="s">
        <v>578</v>
      </c>
      <c r="D3" s="13">
        <v>8500</v>
      </c>
    </row>
    <row r="4" spans="1:4" x14ac:dyDescent="0.25">
      <c r="A4" s="2" t="s">
        <v>80</v>
      </c>
      <c r="B4" s="2" t="s">
        <v>580</v>
      </c>
      <c r="C4" s="2" t="s">
        <v>581</v>
      </c>
      <c r="D4" s="13">
        <v>5000</v>
      </c>
    </row>
    <row r="5" spans="1:4" x14ac:dyDescent="0.25">
      <c r="A5" s="2" t="s">
        <v>378</v>
      </c>
      <c r="B5" s="2" t="s">
        <v>582</v>
      </c>
      <c r="C5" s="2" t="s">
        <v>583</v>
      </c>
      <c r="D5" s="13">
        <v>3500</v>
      </c>
    </row>
    <row r="6" spans="1:4" x14ac:dyDescent="0.25">
      <c r="A6" s="2" t="s">
        <v>373</v>
      </c>
      <c r="B6" s="2" t="s">
        <v>584</v>
      </c>
      <c r="C6" s="2" t="s">
        <v>581</v>
      </c>
      <c r="D6" s="13">
        <v>6000</v>
      </c>
    </row>
    <row r="7" spans="1:4" x14ac:dyDescent="0.25">
      <c r="A7" s="2" t="s">
        <v>110</v>
      </c>
      <c r="B7" s="2" t="s">
        <v>585</v>
      </c>
      <c r="C7" s="2" t="s">
        <v>586</v>
      </c>
      <c r="D7" s="13">
        <v>6000</v>
      </c>
    </row>
    <row r="8" spans="1:4" x14ac:dyDescent="0.25">
      <c r="A8" s="2" t="s">
        <v>231</v>
      </c>
      <c r="B8" s="2" t="s">
        <v>587</v>
      </c>
      <c r="C8" s="2" t="s">
        <v>581</v>
      </c>
      <c r="D8" s="13">
        <v>4000</v>
      </c>
    </row>
    <row r="9" spans="1:4" x14ac:dyDescent="0.25">
      <c r="A9" s="2" t="s">
        <v>39</v>
      </c>
      <c r="B9" s="2" t="s">
        <v>588</v>
      </c>
      <c r="C9" s="2" t="s">
        <v>583</v>
      </c>
      <c r="D9" s="13">
        <v>3500</v>
      </c>
    </row>
    <row r="10" spans="1:4" x14ac:dyDescent="0.25">
      <c r="A10" s="2" t="s">
        <v>142</v>
      </c>
      <c r="B10" s="2" t="s">
        <v>589</v>
      </c>
      <c r="C10" s="2" t="s">
        <v>590</v>
      </c>
      <c r="D10" s="13">
        <v>7000</v>
      </c>
    </row>
    <row r="11" spans="1:4" x14ac:dyDescent="0.25">
      <c r="A11" s="2" t="s">
        <v>116</v>
      </c>
      <c r="B11" s="2" t="s">
        <v>591</v>
      </c>
      <c r="C11" s="2" t="s">
        <v>583</v>
      </c>
      <c r="D11" s="13">
        <v>10000</v>
      </c>
    </row>
    <row r="12" spans="1:4" x14ac:dyDescent="0.25">
      <c r="A12" s="2" t="s">
        <v>120</v>
      </c>
      <c r="B12" s="2" t="s">
        <v>592</v>
      </c>
      <c r="C12" s="2" t="s">
        <v>586</v>
      </c>
      <c r="D12" s="13">
        <v>4000</v>
      </c>
    </row>
    <row r="13" spans="1:4" x14ac:dyDescent="0.25">
      <c r="A13" s="2" t="s">
        <v>324</v>
      </c>
      <c r="B13" s="2" t="s">
        <v>593</v>
      </c>
      <c r="C13" s="2" t="s">
        <v>583</v>
      </c>
      <c r="D13" s="13">
        <v>4000</v>
      </c>
    </row>
    <row r="14" spans="1:4" x14ac:dyDescent="0.25">
      <c r="A14" s="2" t="s">
        <v>21</v>
      </c>
      <c r="B14" s="2" t="s">
        <v>594</v>
      </c>
      <c r="C14" s="2" t="s">
        <v>581</v>
      </c>
      <c r="D14" s="13">
        <v>5500</v>
      </c>
    </row>
    <row r="15" spans="1:4" x14ac:dyDescent="0.25">
      <c r="A15" s="2" t="s">
        <v>106</v>
      </c>
      <c r="B15" s="2" t="s">
        <v>595</v>
      </c>
      <c r="C15" s="2" t="s">
        <v>596</v>
      </c>
      <c r="D15" s="13">
        <v>6000</v>
      </c>
    </row>
    <row r="16" spans="1:4" x14ac:dyDescent="0.25">
      <c r="A16" s="2" t="s">
        <v>14</v>
      </c>
      <c r="B16" s="2" t="s">
        <v>597</v>
      </c>
      <c r="C16" s="2" t="s">
        <v>583</v>
      </c>
      <c r="D16" s="13">
        <v>10000</v>
      </c>
    </row>
    <row r="17" spans="1:4" x14ac:dyDescent="0.25">
      <c r="A17" s="2" t="s">
        <v>187</v>
      </c>
      <c r="B17" s="2" t="s">
        <v>598</v>
      </c>
      <c r="C17" s="2" t="s">
        <v>596</v>
      </c>
      <c r="D17" s="13">
        <v>8500</v>
      </c>
    </row>
    <row r="18" spans="1:4" x14ac:dyDescent="0.25">
      <c r="A18" s="2" t="s">
        <v>198</v>
      </c>
      <c r="B18" s="2" t="s">
        <v>599</v>
      </c>
      <c r="C18" s="2" t="s">
        <v>596</v>
      </c>
      <c r="D18" s="13">
        <v>7500</v>
      </c>
    </row>
    <row r="19" spans="1:4" x14ac:dyDescent="0.25">
      <c r="A19" s="2" t="s">
        <v>64</v>
      </c>
      <c r="B19" s="2" t="s">
        <v>600</v>
      </c>
      <c r="C19" s="2" t="s">
        <v>586</v>
      </c>
      <c r="D19" s="13">
        <v>10000</v>
      </c>
    </row>
    <row r="20" spans="1:4" x14ac:dyDescent="0.25">
      <c r="A20" s="2" t="s">
        <v>218</v>
      </c>
      <c r="B20" s="2" t="s">
        <v>601</v>
      </c>
      <c r="C20" s="2" t="s">
        <v>586</v>
      </c>
      <c r="D20" s="13">
        <v>3500</v>
      </c>
    </row>
    <row r="21" spans="1:4" x14ac:dyDescent="0.25">
      <c r="A21" s="2" t="s">
        <v>28</v>
      </c>
      <c r="B21" s="2" t="s">
        <v>602</v>
      </c>
      <c r="C21" s="2" t="s">
        <v>583</v>
      </c>
      <c r="D21" s="13">
        <v>4000</v>
      </c>
    </row>
    <row r="22" spans="1:4" x14ac:dyDescent="0.25">
      <c r="A22" s="2" t="s">
        <v>103</v>
      </c>
      <c r="B22" s="2" t="s">
        <v>603</v>
      </c>
      <c r="C22" s="2" t="s">
        <v>604</v>
      </c>
      <c r="D22" s="13">
        <v>5000</v>
      </c>
    </row>
    <row r="23" spans="1:4" x14ac:dyDescent="0.25">
      <c r="A23" s="2" t="s">
        <v>180</v>
      </c>
      <c r="B23" s="2" t="s">
        <v>605</v>
      </c>
      <c r="C23" s="2" t="s">
        <v>581</v>
      </c>
      <c r="D23" s="13">
        <v>10000</v>
      </c>
    </row>
    <row r="24" spans="1:4" x14ac:dyDescent="0.25">
      <c r="A24" s="2" t="s">
        <v>195</v>
      </c>
      <c r="B24" s="2" t="s">
        <v>606</v>
      </c>
      <c r="C24" s="2" t="s">
        <v>583</v>
      </c>
      <c r="D24" s="13">
        <v>4500</v>
      </c>
    </row>
    <row r="25" spans="1:4" x14ac:dyDescent="0.25">
      <c r="A25" s="2" t="s">
        <v>69</v>
      </c>
      <c r="B25" s="2" t="s">
        <v>607</v>
      </c>
      <c r="C25" s="2" t="s">
        <v>583</v>
      </c>
      <c r="D25" s="13">
        <v>9000</v>
      </c>
    </row>
    <row r="26" spans="1:4" x14ac:dyDescent="0.25">
      <c r="A26" s="2" t="s">
        <v>58</v>
      </c>
      <c r="B26" s="2" t="s">
        <v>608</v>
      </c>
      <c r="C26" s="2" t="s">
        <v>581</v>
      </c>
      <c r="D26" s="13">
        <v>6000</v>
      </c>
    </row>
    <row r="27" spans="1:4" x14ac:dyDescent="0.25">
      <c r="A27" s="2" t="s">
        <v>46</v>
      </c>
      <c r="B27" s="2" t="s">
        <v>609</v>
      </c>
      <c r="C27" s="2" t="s">
        <v>610</v>
      </c>
      <c r="D27" s="13">
        <v>4000</v>
      </c>
    </row>
    <row r="28" spans="1:4" x14ac:dyDescent="0.25">
      <c r="A28" s="2" t="s">
        <v>167</v>
      </c>
      <c r="B28" s="2" t="s">
        <v>611</v>
      </c>
      <c r="C28" s="2" t="s">
        <v>590</v>
      </c>
      <c r="D28" s="13">
        <v>4500</v>
      </c>
    </row>
    <row r="29" spans="1:4" x14ac:dyDescent="0.25">
      <c r="A29" s="2" t="s">
        <v>319</v>
      </c>
      <c r="B29" s="2" t="s">
        <v>612</v>
      </c>
      <c r="C29" s="2" t="s">
        <v>581</v>
      </c>
      <c r="D29" s="13">
        <v>9000</v>
      </c>
    </row>
    <row r="30" spans="1:4" x14ac:dyDescent="0.25">
      <c r="A30" s="2" t="s">
        <v>93</v>
      </c>
      <c r="B30" s="2" t="s">
        <v>613</v>
      </c>
      <c r="C30" s="2" t="s">
        <v>581</v>
      </c>
      <c r="D30" s="13">
        <v>9000</v>
      </c>
    </row>
    <row r="31" spans="1:4" x14ac:dyDescent="0.25">
      <c r="A31" s="2" t="s">
        <v>74</v>
      </c>
      <c r="B31" s="2" t="s">
        <v>614</v>
      </c>
      <c r="C31" s="2" t="s">
        <v>583</v>
      </c>
      <c r="D31" s="13">
        <v>8500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L30" sqref="L30"/>
    </sheetView>
  </sheetViews>
  <sheetFormatPr defaultRowHeight="15" x14ac:dyDescent="0.25"/>
  <cols>
    <col min="1" max="1" width="24" customWidth="1"/>
    <col min="2" max="2" width="20" customWidth="1"/>
  </cols>
  <sheetData>
    <row r="1" spans="1:2" x14ac:dyDescent="0.25">
      <c r="A1" s="1" t="s">
        <v>615</v>
      </c>
      <c r="B1" s="1" t="s">
        <v>616</v>
      </c>
    </row>
    <row r="2" spans="1:2" x14ac:dyDescent="0.25">
      <c r="A2" s="2">
        <v>0</v>
      </c>
      <c r="B2" s="2" t="s">
        <v>617</v>
      </c>
    </row>
    <row r="3" spans="1:2" x14ac:dyDescent="0.25">
      <c r="A3" s="2">
        <v>20000</v>
      </c>
      <c r="B3" s="2" t="s">
        <v>618</v>
      </c>
    </row>
    <row r="4" spans="1:2" x14ac:dyDescent="0.25">
      <c r="A4" s="2">
        <v>75000</v>
      </c>
      <c r="B4" s="2" t="s">
        <v>619</v>
      </c>
    </row>
    <row r="5" spans="1:2" x14ac:dyDescent="0.25">
      <c r="A5" s="2">
        <v>200000</v>
      </c>
      <c r="B5" s="2" t="s">
        <v>620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>
      <selection activeCell="N2" sqref="N2"/>
    </sheetView>
  </sheetViews>
  <sheetFormatPr defaultRowHeight="15" x14ac:dyDescent="0.25"/>
  <cols>
    <col min="1" max="1" width="14" customWidth="1"/>
    <col min="2" max="2" width="18" customWidth="1"/>
  </cols>
  <sheetData>
    <row r="1" spans="1:2" x14ac:dyDescent="0.25">
      <c r="A1" s="1" t="s">
        <v>621</v>
      </c>
      <c r="B1" s="1" t="s">
        <v>622</v>
      </c>
    </row>
    <row r="2" spans="1:2" x14ac:dyDescent="0.25">
      <c r="A2" s="2">
        <v>0</v>
      </c>
      <c r="B2" s="2" t="s">
        <v>623</v>
      </c>
    </row>
    <row r="3" spans="1:2" x14ac:dyDescent="0.25">
      <c r="A3" s="2">
        <v>13</v>
      </c>
      <c r="B3" s="2" t="s">
        <v>624</v>
      </c>
    </row>
    <row r="4" spans="1:2" x14ac:dyDescent="0.25">
      <c r="A4" s="2">
        <v>18</v>
      </c>
      <c r="B4" s="2" t="s">
        <v>625</v>
      </c>
    </row>
    <row r="5" spans="1:2" x14ac:dyDescent="0.25">
      <c r="A5" s="2">
        <v>35</v>
      </c>
      <c r="B5" s="2" t="s">
        <v>626</v>
      </c>
    </row>
    <row r="6" spans="1:2" x14ac:dyDescent="0.25">
      <c r="A6" s="2">
        <v>60</v>
      </c>
      <c r="B6" s="2" t="s">
        <v>627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>
      <selection activeCell="A4" sqref="A4"/>
    </sheetView>
  </sheetViews>
  <sheetFormatPr defaultRowHeight="15" x14ac:dyDescent="0.25"/>
  <cols>
    <col min="1" max="1" width="23.28515625" customWidth="1"/>
    <col min="2" max="2" width="65.7109375" customWidth="1"/>
  </cols>
  <sheetData>
    <row r="1" spans="1:2" x14ac:dyDescent="0.25">
      <c r="A1" s="1" t="s">
        <v>628</v>
      </c>
      <c r="B1" s="1" t="s">
        <v>629</v>
      </c>
    </row>
    <row r="2" spans="1:2" x14ac:dyDescent="0.25">
      <c r="A2" s="2" t="s">
        <v>219</v>
      </c>
      <c r="B2" s="2" t="s">
        <v>630</v>
      </c>
    </row>
    <row r="3" spans="1:2" x14ac:dyDescent="0.25">
      <c r="A3" s="2" t="s">
        <v>329</v>
      </c>
      <c r="B3" s="2" t="s">
        <v>631</v>
      </c>
    </row>
    <row r="4" spans="1:2" x14ac:dyDescent="0.25">
      <c r="A4" s="4" t="s">
        <v>15</v>
      </c>
      <c r="B4" s="2" t="s">
        <v>632</v>
      </c>
    </row>
    <row r="5" spans="1:2" x14ac:dyDescent="0.25">
      <c r="A5" s="2" t="s">
        <v>89</v>
      </c>
      <c r="B5" s="2" t="s">
        <v>633</v>
      </c>
    </row>
    <row r="6" spans="1:2" x14ac:dyDescent="0.25">
      <c r="A6" s="2" t="s">
        <v>634</v>
      </c>
      <c r="B6" s="2" t="s">
        <v>635</v>
      </c>
    </row>
    <row r="7" spans="1:2" x14ac:dyDescent="0.25">
      <c r="A7" s="2" t="s">
        <v>40</v>
      </c>
      <c r="B7" s="2" t="s">
        <v>636</v>
      </c>
    </row>
    <row r="8" spans="1:2" x14ac:dyDescent="0.25">
      <c r="A8" s="2" t="s">
        <v>70</v>
      </c>
      <c r="B8" s="2" t="s">
        <v>637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/>
  </sheetViews>
  <sheetFormatPr defaultRowHeight="15" x14ac:dyDescent="0.25"/>
  <cols>
    <col min="1" max="1" width="16" customWidth="1"/>
    <col min="2" max="2" width="24" customWidth="1"/>
  </cols>
  <sheetData>
    <row r="1" spans="1:2" x14ac:dyDescent="0.25">
      <c r="A1" s="1" t="s">
        <v>2</v>
      </c>
      <c r="B1" s="1" t="s">
        <v>638</v>
      </c>
    </row>
    <row r="2" spans="1:2" x14ac:dyDescent="0.25">
      <c r="A2" s="2" t="s">
        <v>19</v>
      </c>
      <c r="B2" s="2" t="s">
        <v>639</v>
      </c>
    </row>
    <row r="3" spans="1:2" x14ac:dyDescent="0.25">
      <c r="A3" s="2" t="s">
        <v>44</v>
      </c>
      <c r="B3" s="2" t="s">
        <v>640</v>
      </c>
    </row>
    <row r="4" spans="1:2" x14ac:dyDescent="0.25">
      <c r="A4" s="2" t="s">
        <v>26</v>
      </c>
      <c r="B4" s="2" t="s">
        <v>641</v>
      </c>
    </row>
    <row r="5" spans="1:2" x14ac:dyDescent="0.25">
      <c r="A5" s="2" t="s">
        <v>12</v>
      </c>
      <c r="B5" s="2" t="s">
        <v>642</v>
      </c>
    </row>
    <row r="6" spans="1:2" x14ac:dyDescent="0.25">
      <c r="A6" s="2" t="s">
        <v>37</v>
      </c>
      <c r="B6" s="2" t="s">
        <v>643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"/>
  <sheetViews>
    <sheetView workbookViewId="0"/>
  </sheetViews>
  <sheetFormatPr defaultRowHeight="15" x14ac:dyDescent="0.25"/>
  <cols>
    <col min="1" max="1" width="16" customWidth="1"/>
    <col min="2" max="3" width="12" customWidth="1"/>
    <col min="4" max="4" width="14" customWidth="1"/>
    <col min="5" max="6" width="12" customWidth="1"/>
  </cols>
  <sheetData>
    <row r="1" spans="1:6" x14ac:dyDescent="0.25">
      <c r="A1" s="1" t="s">
        <v>2</v>
      </c>
      <c r="B1" s="1" t="s">
        <v>623</v>
      </c>
      <c r="C1" s="1" t="s">
        <v>624</v>
      </c>
      <c r="D1" s="1" t="s">
        <v>625</v>
      </c>
      <c r="E1" s="1" t="s">
        <v>626</v>
      </c>
      <c r="F1" s="1" t="s">
        <v>627</v>
      </c>
    </row>
    <row r="2" spans="1:6" x14ac:dyDescent="0.25">
      <c r="A2" s="2" t="s">
        <v>19</v>
      </c>
      <c r="B2" s="3">
        <v>0.83</v>
      </c>
      <c r="C2" s="3">
        <v>0.72</v>
      </c>
      <c r="D2" s="3">
        <v>0.67</v>
      </c>
      <c r="E2" s="3">
        <v>0.66</v>
      </c>
      <c r="F2" s="3">
        <v>0.8</v>
      </c>
    </row>
    <row r="3" spans="1:6" x14ac:dyDescent="0.25">
      <c r="A3" s="2" t="s">
        <v>44</v>
      </c>
      <c r="B3" s="3">
        <v>0.84</v>
      </c>
      <c r="C3" s="3">
        <v>0.71</v>
      </c>
      <c r="D3" s="3">
        <v>0.65</v>
      </c>
      <c r="E3" s="3">
        <v>0.65</v>
      </c>
      <c r="F3" s="3">
        <v>0.79</v>
      </c>
    </row>
    <row r="4" spans="1:6" x14ac:dyDescent="0.25">
      <c r="A4" s="2" t="s">
        <v>26</v>
      </c>
      <c r="B4" s="3">
        <v>0.81</v>
      </c>
      <c r="C4" s="3">
        <v>0.71</v>
      </c>
      <c r="D4" s="3">
        <v>0.64</v>
      </c>
      <c r="E4" s="3">
        <v>0.73</v>
      </c>
      <c r="F4" s="3">
        <v>0.76</v>
      </c>
    </row>
    <row r="5" spans="1:6" x14ac:dyDescent="0.25">
      <c r="A5" s="2" t="s">
        <v>12</v>
      </c>
      <c r="B5" s="3">
        <v>0.82</v>
      </c>
      <c r="C5" s="3">
        <v>0.76</v>
      </c>
      <c r="D5" s="3">
        <v>0.69</v>
      </c>
      <c r="E5" s="3">
        <v>0.71</v>
      </c>
      <c r="F5" s="3">
        <v>0.79</v>
      </c>
    </row>
    <row r="6" spans="1:6" x14ac:dyDescent="0.25">
      <c r="A6" s="2" t="s">
        <v>37</v>
      </c>
      <c r="B6" s="3">
        <v>0.9</v>
      </c>
      <c r="C6" s="3">
        <v>0.7</v>
      </c>
      <c r="D6" s="3">
        <v>0.69</v>
      </c>
      <c r="E6" s="3">
        <v>0.68</v>
      </c>
      <c r="F6" s="3">
        <v>0.76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Readme_Documentation</vt:lpstr>
      <vt:lpstr>Patient_Records</vt:lpstr>
      <vt:lpstr>Doctor_Directory</vt:lpstr>
      <vt:lpstr>Bill_Tier_Reference</vt:lpstr>
      <vt:lpstr>Age_Bracket_Reference</vt:lpstr>
      <vt:lpstr>Protocol_Reference</vt:lpstr>
      <vt:lpstr>State_Coordinator</vt:lpstr>
      <vt:lpstr>Insurance_Reimbursement_Matrix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Precious Emoh</cp:lastModifiedBy>
  <dcterms:created xsi:type="dcterms:W3CDTF">2026-07-25T08:33:31Z</dcterms:created>
  <dcterms:modified xsi:type="dcterms:W3CDTF">2026-08-31T21:35:20Z</dcterms:modified>
</cp:coreProperties>
</file>